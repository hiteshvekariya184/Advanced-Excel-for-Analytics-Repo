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6\"/>
    </mc:Choice>
  </mc:AlternateContent>
  <xr:revisionPtr revIDLastSave="0" documentId="13_ncr:1_{62EB63D9-1D1B-4733-B387-CE69E5AA5538}" xr6:coauthVersionLast="47" xr6:coauthVersionMax="47" xr10:uidLastSave="{00000000-0000-0000-0000-000000000000}"/>
  <bookViews>
    <workbookView xWindow="-108" yWindow="-108" windowWidth="23256" windowHeight="12576" xr2:uid="{E4BCECF2-BA17-42BF-8605-E344993BDFC3}"/>
  </bookViews>
  <sheets>
    <sheet name="Tasks_01" sheetId="1" r:id="rId1"/>
    <sheet name="Tasks_02" sheetId="2" r:id="rId2"/>
    <sheet name="Tasks_03" sheetId="3" r:id="rId3"/>
    <sheet name="Tasks_04" sheetId="4" r:id="rId4"/>
    <sheet name="Tasks_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5" l="1"/>
  <c r="D4" i="5" a="1"/>
  <c r="D4" i="5" s="1"/>
  <c r="D2" i="5"/>
  <c r="E2" i="5"/>
  <c r="D3" i="5"/>
  <c r="E3" i="5"/>
  <c r="E4" i="5"/>
  <c r="D5" i="5"/>
  <c r="E5" i="5"/>
  <c r="D6" i="5"/>
  <c r="E6" i="5"/>
  <c r="D7" i="5"/>
  <c r="E7" i="5"/>
  <c r="D8" i="5"/>
  <c r="D9" i="5"/>
  <c r="E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<sst xmlns="http://schemas.openxmlformats.org/spreadsheetml/2006/main" count="239" uniqueCount="192">
  <si>
    <t>Order ID</t>
  </si>
  <si>
    <t>Customer Name</t>
  </si>
  <si>
    <t>Address</t>
  </si>
  <si>
    <t>City</t>
  </si>
  <si>
    <t>Product</t>
  </si>
  <si>
    <t>Amount</t>
  </si>
  <si>
    <t>ORD001</t>
  </si>
  <si>
    <t>Aarav Patel</t>
  </si>
  <si>
    <t>12 SG Highway</t>
  </si>
  <si>
    <t>Ahmedabad</t>
  </si>
  <si>
    <t>Laptop Bag</t>
  </si>
  <si>
    <t>ORD002</t>
  </si>
  <si>
    <t>Riya Shah</t>
  </si>
  <si>
    <t>Wireless Mouse</t>
  </si>
  <si>
    <t>ORD003</t>
  </si>
  <si>
    <t>Rahul Mehta</t>
  </si>
  <si>
    <t>18 Ring Road</t>
  </si>
  <si>
    <t>Surat</t>
  </si>
  <si>
    <t>Keyboard</t>
  </si>
  <si>
    <t>ORD004</t>
  </si>
  <si>
    <t>Neha Patel</t>
  </si>
  <si>
    <t>27 University Road</t>
  </si>
  <si>
    <t>Rajkot</t>
  </si>
  <si>
    <t>Headphones</t>
  </si>
  <si>
    <t>ORD005</t>
  </si>
  <si>
    <t>Arjun Shah</t>
  </si>
  <si>
    <t>33 Alkapuri Road</t>
  </si>
  <si>
    <t>Vadodara</t>
  </si>
  <si>
    <t>USB Hub</t>
  </si>
  <si>
    <t>ORD006</t>
  </si>
  <si>
    <t>Priya Desai</t>
  </si>
  <si>
    <t>21 Satellite Road</t>
  </si>
  <si>
    <t>Webcam</t>
  </si>
  <si>
    <t>ORD007</t>
  </si>
  <si>
    <t>Karan Joshi</t>
  </si>
  <si>
    <t>56 Adajan Road</t>
  </si>
  <si>
    <t>Power Bank</t>
  </si>
  <si>
    <t>ORD008</t>
  </si>
  <si>
    <t>Meera Patel</t>
  </si>
  <si>
    <t>14 Kalawad Road</t>
  </si>
  <si>
    <t>Laptop Stand</t>
  </si>
  <si>
    <t>ORD009</t>
  </si>
  <si>
    <t>Dhruv Shah</t>
  </si>
  <si>
    <t>39 Gotri Road</t>
  </si>
  <si>
    <t>SSD</t>
  </si>
  <si>
    <t>ORD010</t>
  </si>
  <si>
    <t>Isha Mehta</t>
  </si>
  <si>
    <t>72 Bopal Road</t>
  </si>
  <si>
    <t>ORD011</t>
  </si>
  <si>
    <t>Yash Patel</t>
  </si>
  <si>
    <t>25 Vesu Road</t>
  </si>
  <si>
    <t>Monitor</t>
  </si>
  <si>
    <t>ORD012</t>
  </si>
  <si>
    <t>Ananya Shah</t>
  </si>
  <si>
    <t>41 Manjalpur Road</t>
  </si>
  <si>
    <t>Mouse Pad</t>
  </si>
  <si>
    <t>ORD013</t>
  </si>
  <si>
    <t>Dev Mehta</t>
  </si>
  <si>
    <t>19 Navrangpura</t>
  </si>
  <si>
    <t>Printer</t>
  </si>
  <si>
    <t>ORD014</t>
  </si>
  <si>
    <t>Kavya Patel</t>
  </si>
  <si>
    <t>63 Raiya Road</t>
  </si>
  <si>
    <t>Earphones</t>
  </si>
  <si>
    <t>ORD015</t>
  </si>
  <si>
    <t>Rohan Shah</t>
  </si>
  <si>
    <t>28 Athwa Road</t>
  </si>
  <si>
    <t>HDMI Cable</t>
  </si>
  <si>
    <t>ORD018</t>
  </si>
  <si>
    <t>Manav Desai</t>
  </si>
  <si>
    <t>17 Akota Road</t>
  </si>
  <si>
    <t>Tablet Stand</t>
  </si>
  <si>
    <t>ORD019</t>
  </si>
  <si>
    <t>Simran Joshi</t>
  </si>
  <si>
    <t>44 Pal Road</t>
  </si>
  <si>
    <t>Smart Watch</t>
  </si>
  <si>
    <t>ORD020</t>
  </si>
  <si>
    <t>Harsh Patel</t>
  </si>
  <si>
    <t>31 Bodakdev Road</t>
  </si>
  <si>
    <t>Bluetooth Speaker</t>
  </si>
  <si>
    <t>ORD022</t>
  </si>
  <si>
    <t>Pooja Shah</t>
  </si>
  <si>
    <t>52 Karelibaug</t>
  </si>
  <si>
    <t>ORD023</t>
  </si>
  <si>
    <t>Meet Mehta</t>
  </si>
  <si>
    <t>16 Sardar Patel Road</t>
  </si>
  <si>
    <t>ORD024</t>
  </si>
  <si>
    <t>Jinal Patel</t>
  </si>
  <si>
    <t>29 Varachha Road</t>
  </si>
  <si>
    <t>ORD025</t>
  </si>
  <si>
    <t>Om Shah</t>
  </si>
  <si>
    <t>37 Dhebar Road</t>
  </si>
  <si>
    <t>ORD026</t>
  </si>
  <si>
    <t>Nisha Desai</t>
  </si>
  <si>
    <t>22 Gotri Road</t>
  </si>
  <si>
    <t>ORD027</t>
  </si>
  <si>
    <t>Aakash Patel</t>
  </si>
  <si>
    <t>48 Thaltej Road</t>
  </si>
  <si>
    <t>45 CG Road</t>
  </si>
  <si>
    <t>Delivery Address</t>
  </si>
  <si>
    <t>Flat 12B, Sunrise Apartments, SG Highway, Ahmedabad</t>
  </si>
  <si>
    <t>House 45, Green Residency, C G Road, Ahmedabad</t>
  </si>
  <si>
    <t>Flat 8A, Royal Heights, Ring Road, Surat</t>
  </si>
  <si>
    <t>House 21, Shree Complex, University Road, Rajkot</t>
  </si>
  <si>
    <t>Flat 302, Silver Heights, Alkapuri Road, Vadodara</t>
  </si>
  <si>
    <t>House 17, Sunshine Apartments, Satellite Road, Ahmedabad</t>
  </si>
  <si>
    <t>Flat 5C, Blue Residency, Adajan Road, Surat</t>
  </si>
  <si>
    <t>House 33, Green View, Kalawad Road, Rajkot</t>
  </si>
  <si>
    <t>Flat 201, Crystal Tower, Gotri Road, Vadodara</t>
  </si>
  <si>
    <t>House 76, Lotus Residency, Bopal Road, Ahmedabad</t>
  </si>
  <si>
    <t>Flat No.</t>
  </si>
  <si>
    <t>Building name</t>
  </si>
  <si>
    <t>Street</t>
  </si>
  <si>
    <t>Flat 12B</t>
  </si>
  <si>
    <t xml:space="preserve"> Sunrise Apartments</t>
  </si>
  <si>
    <t xml:space="preserve"> SG Highway</t>
  </si>
  <si>
    <t xml:space="preserve"> Ahmedabad</t>
  </si>
  <si>
    <t>House 45</t>
  </si>
  <si>
    <t xml:space="preserve"> Green Residency</t>
  </si>
  <si>
    <t xml:space="preserve"> C G Road</t>
  </si>
  <si>
    <t>Flat 8A</t>
  </si>
  <si>
    <t xml:space="preserve"> Royal Heights</t>
  </si>
  <si>
    <t xml:space="preserve"> Ring Road</t>
  </si>
  <si>
    <t xml:space="preserve"> Surat</t>
  </si>
  <si>
    <t>House 21</t>
  </si>
  <si>
    <t xml:space="preserve"> Shree Complex</t>
  </si>
  <si>
    <t xml:space="preserve"> University Road</t>
  </si>
  <si>
    <t xml:space="preserve"> Rajkot</t>
  </si>
  <si>
    <t>Flat 302</t>
  </si>
  <si>
    <t xml:space="preserve"> Silver Heights</t>
  </si>
  <si>
    <t xml:space="preserve"> Alkapuri Road</t>
  </si>
  <si>
    <t xml:space="preserve"> Vadodara</t>
  </si>
  <si>
    <t>House 17</t>
  </si>
  <si>
    <t xml:space="preserve"> Sunshine Apartments</t>
  </si>
  <si>
    <t xml:space="preserve"> Satellite Road</t>
  </si>
  <si>
    <t>Flat 5C</t>
  </si>
  <si>
    <t xml:space="preserve"> Blue Residency</t>
  </si>
  <si>
    <t xml:space="preserve"> Adajan Road</t>
  </si>
  <si>
    <t>House 33</t>
  </si>
  <si>
    <t xml:space="preserve"> Green View</t>
  </si>
  <si>
    <t xml:space="preserve"> Kalawad Road</t>
  </si>
  <si>
    <t>Flat 201</t>
  </si>
  <si>
    <t xml:space="preserve"> Crystal Tower</t>
  </si>
  <si>
    <t xml:space="preserve"> Gotri Road</t>
  </si>
  <si>
    <t>House 76</t>
  </si>
  <si>
    <t xml:space="preserve"> Lotus Residency</t>
  </si>
  <si>
    <t xml:space="preserve"> Bopal Road</t>
  </si>
  <si>
    <t>Email Address</t>
  </si>
  <si>
    <t>Username</t>
  </si>
  <si>
    <t>rahul.patel99@gmail.com</t>
  </si>
  <si>
    <t>rahul.patel99</t>
  </si>
  <si>
    <t>priya.shah23@gmail.com</t>
  </si>
  <si>
    <t>priya.shah23</t>
  </si>
  <si>
    <t>amit.mehta10@yahoo.com</t>
  </si>
  <si>
    <t>amit.mehta10</t>
  </si>
  <si>
    <t>neha.patel45@gmail.com</t>
  </si>
  <si>
    <t>neha.patel45</t>
  </si>
  <si>
    <t>arjun.shah88@outlook.com</t>
  </si>
  <si>
    <t>arjun.shah88</t>
  </si>
  <si>
    <t>kavya.desai21@gmail.com</t>
  </si>
  <si>
    <t>kavya.desai21</t>
  </si>
  <si>
    <t>rohan.joshi77@yahoo.com</t>
  </si>
  <si>
    <t>rohan.joshi77</t>
  </si>
  <si>
    <t>pooja.patel56@gmail.com</t>
  </si>
  <si>
    <t>pooja.patel56</t>
  </si>
  <si>
    <t>dhruv.mehta32@outlook.com</t>
  </si>
  <si>
    <t>dhruv.mehta32</t>
  </si>
  <si>
    <t>simran.shah19@gmail.com</t>
  </si>
  <si>
    <t>simran.shah19</t>
  </si>
  <si>
    <t>Contact Name</t>
  </si>
  <si>
    <t>Phone Number</t>
  </si>
  <si>
    <t>Rahul Patel</t>
  </si>
  <si>
    <t>Priya Shah</t>
  </si>
  <si>
    <t>Amit Mehta</t>
  </si>
  <si>
    <t>Kavya Desai</t>
  </si>
  <si>
    <t>Rohan Joshi</t>
  </si>
  <si>
    <t>Pooja Patel</t>
  </si>
  <si>
    <t>Dhruv Mehta</t>
  </si>
  <si>
    <t>Simran Shah</t>
  </si>
  <si>
    <t>Player</t>
  </si>
  <si>
    <t>Runs</t>
  </si>
  <si>
    <t>Matches</t>
  </si>
  <si>
    <t>Average</t>
  </si>
  <si>
    <t>Strike Rate</t>
  </si>
  <si>
    <t>Virat Kohli</t>
  </si>
  <si>
    <t>Rohit Sharma</t>
  </si>
  <si>
    <t>Shubman Gill</t>
  </si>
  <si>
    <t>Ruturaj Gaikwad</t>
  </si>
  <si>
    <t>KL Rahul</t>
  </si>
  <si>
    <t>Hardik Pandya</t>
  </si>
  <si>
    <t>Ravindra Jadeja</t>
  </si>
  <si>
    <t>Suryakumar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</si>
</sst>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.patel56@gmail.com" TargetMode="External"/><Relationship Id="rId3" Type="http://schemas.openxmlformats.org/officeDocument/2006/relationships/hyperlink" Target="mailto:amit.mehta10@yahoo.com" TargetMode="External"/><Relationship Id="rId7" Type="http://schemas.openxmlformats.org/officeDocument/2006/relationships/hyperlink" Target="mailto:rohan.joshi77@yahoo.com" TargetMode="External"/><Relationship Id="rId2" Type="http://schemas.openxmlformats.org/officeDocument/2006/relationships/hyperlink" Target="mailto:priya.shah23@gmail.com" TargetMode="External"/><Relationship Id="rId1" Type="http://schemas.openxmlformats.org/officeDocument/2006/relationships/hyperlink" Target="mailto:rahul.patel99@gmail.com" TargetMode="External"/><Relationship Id="rId6" Type="http://schemas.openxmlformats.org/officeDocument/2006/relationships/hyperlink" Target="mailto:kavya.desai21@gmail.com" TargetMode="External"/><Relationship Id="rId5" Type="http://schemas.openxmlformats.org/officeDocument/2006/relationships/hyperlink" Target="mailto:arjun.shah88@outlook.com" TargetMode="External"/><Relationship Id="rId10" Type="http://schemas.openxmlformats.org/officeDocument/2006/relationships/hyperlink" Target="mailto:simran.shah19@gmail.com" TargetMode="External"/><Relationship Id="rId4" Type="http://schemas.openxmlformats.org/officeDocument/2006/relationships/hyperlink" Target="mailto:neha.patel45@gmail.com" TargetMode="External"/><Relationship Id="rId9" Type="http://schemas.openxmlformats.org/officeDocument/2006/relationships/hyperlink" Target="mailto:dhruv.mehta32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9BEA-CC58-4A18-8B55-955CDC45A705}">
  <dimension ref="A1:F25"/>
  <sheetViews>
    <sheetView tabSelected="1" workbookViewId="0">
      <selection activeCell="C3" sqref="C3"/>
    </sheetView>
  </sheetViews>
  <sheetFormatPr defaultRowHeight="14.4" x14ac:dyDescent="0.3"/>
  <cols>
    <col min="2" max="2" width="16.77734375" customWidth="1"/>
    <col min="3" max="3" width="18.5546875" customWidth="1"/>
    <col min="4" max="4" width="16.5546875" customWidth="1"/>
    <col min="5" max="5" width="16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1299</v>
      </c>
    </row>
    <row r="3" spans="1:6" x14ac:dyDescent="0.3">
      <c r="A3" s="1" t="s">
        <v>11</v>
      </c>
      <c r="B3" s="1" t="s">
        <v>12</v>
      </c>
      <c r="C3" s="1" t="s">
        <v>98</v>
      </c>
      <c r="D3" s="1" t="s">
        <v>9</v>
      </c>
      <c r="E3" s="1" t="s">
        <v>13</v>
      </c>
      <c r="F3" s="1">
        <v>799</v>
      </c>
    </row>
    <row r="4" spans="1:6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1499</v>
      </c>
    </row>
    <row r="5" spans="1:6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>
        <v>1999</v>
      </c>
    </row>
    <row r="6" spans="1:6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899</v>
      </c>
    </row>
    <row r="7" spans="1:6" x14ac:dyDescent="0.3">
      <c r="A7" s="1" t="s">
        <v>29</v>
      </c>
      <c r="B7" s="1" t="s">
        <v>30</v>
      </c>
      <c r="C7" s="1" t="s">
        <v>31</v>
      </c>
      <c r="D7" s="1" t="s">
        <v>9</v>
      </c>
      <c r="E7" s="1" t="s">
        <v>32</v>
      </c>
      <c r="F7" s="1">
        <v>2499</v>
      </c>
    </row>
    <row r="8" spans="1:6" x14ac:dyDescent="0.3">
      <c r="A8" s="1" t="s">
        <v>33</v>
      </c>
      <c r="B8" s="1" t="s">
        <v>34</v>
      </c>
      <c r="C8" s="1" t="s">
        <v>35</v>
      </c>
      <c r="D8" s="1" t="s">
        <v>17</v>
      </c>
      <c r="E8" s="1" t="s">
        <v>36</v>
      </c>
      <c r="F8" s="1">
        <v>1599</v>
      </c>
    </row>
    <row r="9" spans="1:6" x14ac:dyDescent="0.3">
      <c r="A9" s="1" t="s">
        <v>37</v>
      </c>
      <c r="B9" s="1" t="s">
        <v>38</v>
      </c>
      <c r="C9" s="1" t="s">
        <v>39</v>
      </c>
      <c r="D9" s="1" t="s">
        <v>22</v>
      </c>
      <c r="E9" s="1" t="s">
        <v>40</v>
      </c>
      <c r="F9" s="1">
        <v>1799</v>
      </c>
    </row>
    <row r="10" spans="1:6" x14ac:dyDescent="0.3">
      <c r="A10" s="1" t="s">
        <v>41</v>
      </c>
      <c r="B10" s="1" t="s">
        <v>42</v>
      </c>
      <c r="C10" s="1" t="s">
        <v>43</v>
      </c>
      <c r="D10" s="1" t="s">
        <v>27</v>
      </c>
      <c r="E10" s="1" t="s">
        <v>44</v>
      </c>
      <c r="F10" s="1">
        <v>3499</v>
      </c>
    </row>
    <row r="11" spans="1:6" x14ac:dyDescent="0.3">
      <c r="A11" s="1" t="s">
        <v>45</v>
      </c>
      <c r="B11" s="1" t="s">
        <v>46</v>
      </c>
      <c r="C11" s="1" t="s">
        <v>47</v>
      </c>
      <c r="D11" s="1" t="s">
        <v>9</v>
      </c>
      <c r="E11" s="1" t="s">
        <v>18</v>
      </c>
      <c r="F11" s="1">
        <v>1499</v>
      </c>
    </row>
    <row r="12" spans="1:6" x14ac:dyDescent="0.3">
      <c r="A12" s="1" t="s">
        <v>48</v>
      </c>
      <c r="B12" s="1" t="s">
        <v>49</v>
      </c>
      <c r="C12" s="1" t="s">
        <v>50</v>
      </c>
      <c r="D12" s="1" t="s">
        <v>17</v>
      </c>
      <c r="E12" s="1" t="s">
        <v>51</v>
      </c>
      <c r="F12" s="1">
        <v>8999</v>
      </c>
    </row>
    <row r="13" spans="1:6" x14ac:dyDescent="0.3">
      <c r="A13" s="1" t="s">
        <v>52</v>
      </c>
      <c r="B13" s="1" t="s">
        <v>53</v>
      </c>
      <c r="C13" s="1" t="s">
        <v>54</v>
      </c>
      <c r="D13" s="1" t="s">
        <v>27</v>
      </c>
      <c r="E13" s="1" t="s">
        <v>55</v>
      </c>
      <c r="F13" s="1">
        <v>499</v>
      </c>
    </row>
    <row r="14" spans="1:6" x14ac:dyDescent="0.3">
      <c r="A14" s="1" t="s">
        <v>56</v>
      </c>
      <c r="B14" s="1" t="s">
        <v>57</v>
      </c>
      <c r="C14" s="1" t="s">
        <v>58</v>
      </c>
      <c r="D14" s="1" t="s">
        <v>9</v>
      </c>
      <c r="E14" s="1" t="s">
        <v>59</v>
      </c>
      <c r="F14" s="1">
        <v>6499</v>
      </c>
    </row>
    <row r="15" spans="1:6" x14ac:dyDescent="0.3">
      <c r="A15" s="1" t="s">
        <v>60</v>
      </c>
      <c r="B15" s="1" t="s">
        <v>61</v>
      </c>
      <c r="C15" s="1" t="s">
        <v>62</v>
      </c>
      <c r="D15" s="1" t="s">
        <v>22</v>
      </c>
      <c r="E15" s="1" t="s">
        <v>63</v>
      </c>
      <c r="F15" s="1">
        <v>1299</v>
      </c>
    </row>
    <row r="16" spans="1:6" x14ac:dyDescent="0.3">
      <c r="A16" s="1" t="s">
        <v>64</v>
      </c>
      <c r="B16" s="1" t="s">
        <v>65</v>
      </c>
      <c r="C16" s="1" t="s">
        <v>66</v>
      </c>
      <c r="D16" s="1" t="s">
        <v>17</v>
      </c>
      <c r="E16" s="1" t="s">
        <v>67</v>
      </c>
      <c r="F16" s="1">
        <v>699</v>
      </c>
    </row>
    <row r="17" spans="1:6" x14ac:dyDescent="0.3">
      <c r="A17" s="1" t="s">
        <v>68</v>
      </c>
      <c r="B17" s="1" t="s">
        <v>69</v>
      </c>
      <c r="C17" s="1" t="s">
        <v>70</v>
      </c>
      <c r="D17" s="1" t="s">
        <v>27</v>
      </c>
      <c r="E17" s="1" t="s">
        <v>71</v>
      </c>
      <c r="F17" s="1">
        <v>1199</v>
      </c>
    </row>
    <row r="18" spans="1:6" x14ac:dyDescent="0.3">
      <c r="A18" s="1" t="s">
        <v>72</v>
      </c>
      <c r="B18" s="1" t="s">
        <v>73</v>
      </c>
      <c r="C18" s="1" t="s">
        <v>74</v>
      </c>
      <c r="D18" s="1" t="s">
        <v>17</v>
      </c>
      <c r="E18" s="1" t="s">
        <v>75</v>
      </c>
      <c r="F18" s="1">
        <v>3999</v>
      </c>
    </row>
    <row r="19" spans="1:6" x14ac:dyDescent="0.3">
      <c r="A19" s="1" t="s">
        <v>76</v>
      </c>
      <c r="B19" s="1" t="s">
        <v>77</v>
      </c>
      <c r="C19" s="1" t="s">
        <v>78</v>
      </c>
      <c r="D19" s="1" t="s">
        <v>9</v>
      </c>
      <c r="E19" s="1" t="s">
        <v>79</v>
      </c>
      <c r="F19" s="1">
        <v>2299</v>
      </c>
    </row>
    <row r="20" spans="1:6" x14ac:dyDescent="0.3">
      <c r="A20" s="1" t="s">
        <v>80</v>
      </c>
      <c r="B20" s="1" t="s">
        <v>81</v>
      </c>
      <c r="C20" s="1" t="s">
        <v>82</v>
      </c>
      <c r="D20" s="1" t="s">
        <v>27</v>
      </c>
      <c r="E20" s="1" t="s">
        <v>18</v>
      </c>
      <c r="F20" s="1">
        <v>1499</v>
      </c>
    </row>
    <row r="21" spans="1:6" x14ac:dyDescent="0.3">
      <c r="A21" s="1" t="s">
        <v>83</v>
      </c>
      <c r="B21" s="1" t="s">
        <v>84</v>
      </c>
      <c r="C21" s="1" t="s">
        <v>85</v>
      </c>
      <c r="D21" s="1" t="s">
        <v>9</v>
      </c>
      <c r="E21" s="1" t="s">
        <v>32</v>
      </c>
      <c r="F21" s="1">
        <v>2499</v>
      </c>
    </row>
    <row r="22" spans="1:6" x14ac:dyDescent="0.3">
      <c r="A22" s="1" t="s">
        <v>86</v>
      </c>
      <c r="B22" s="1" t="s">
        <v>87</v>
      </c>
      <c r="C22" s="1" t="s">
        <v>88</v>
      </c>
      <c r="D22" s="1" t="s">
        <v>17</v>
      </c>
      <c r="E22" s="1" t="s">
        <v>36</v>
      </c>
      <c r="F22" s="1">
        <v>1599</v>
      </c>
    </row>
    <row r="23" spans="1:6" x14ac:dyDescent="0.3">
      <c r="A23" s="1" t="s">
        <v>89</v>
      </c>
      <c r="B23" s="1" t="s">
        <v>90</v>
      </c>
      <c r="C23" s="1" t="s">
        <v>91</v>
      </c>
      <c r="D23" s="1" t="s">
        <v>22</v>
      </c>
      <c r="E23" s="1" t="s">
        <v>44</v>
      </c>
      <c r="F23" s="1">
        <v>3499</v>
      </c>
    </row>
    <row r="24" spans="1:6" x14ac:dyDescent="0.3">
      <c r="A24" s="1" t="s">
        <v>92</v>
      </c>
      <c r="B24" s="1" t="s">
        <v>93</v>
      </c>
      <c r="C24" s="1" t="s">
        <v>94</v>
      </c>
      <c r="D24" s="1" t="s">
        <v>27</v>
      </c>
      <c r="E24" s="1" t="s">
        <v>40</v>
      </c>
      <c r="F24" s="1">
        <v>1799</v>
      </c>
    </row>
    <row r="25" spans="1:6" x14ac:dyDescent="0.3">
      <c r="A25" s="1" t="s">
        <v>95</v>
      </c>
      <c r="B25" s="1" t="s">
        <v>96</v>
      </c>
      <c r="C25" s="1" t="s">
        <v>97</v>
      </c>
      <c r="D25" s="1" t="s">
        <v>9</v>
      </c>
      <c r="E25" s="1" t="s">
        <v>51</v>
      </c>
      <c r="F25" s="1">
        <v>8999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AC36-289D-40CB-A51C-FA3C95465185}">
  <dimension ref="A1:F11"/>
  <sheetViews>
    <sheetView workbookViewId="0">
      <selection activeCell="B4" sqref="B4"/>
    </sheetView>
  </sheetViews>
  <sheetFormatPr defaultRowHeight="14.4" x14ac:dyDescent="0.3"/>
  <cols>
    <col min="1" max="1" width="8" bestFit="1" customWidth="1"/>
    <col min="2" max="2" width="50.21875" bestFit="1" customWidth="1"/>
    <col min="3" max="3" width="8.5546875" bestFit="1" customWidth="1"/>
    <col min="4" max="4" width="18.6640625" bestFit="1" customWidth="1"/>
    <col min="5" max="5" width="14.33203125" bestFit="1" customWidth="1"/>
    <col min="6" max="6" width="11.109375" bestFit="1" customWidth="1"/>
  </cols>
  <sheetData>
    <row r="1" spans="1:6" x14ac:dyDescent="0.3">
      <c r="A1" s="2" t="s">
        <v>0</v>
      </c>
      <c r="B1" s="2" t="s">
        <v>99</v>
      </c>
      <c r="C1" s="5" t="s">
        <v>110</v>
      </c>
      <c r="D1" s="5" t="s">
        <v>111</v>
      </c>
      <c r="E1" s="5" t="s">
        <v>112</v>
      </c>
      <c r="F1" s="5" t="s">
        <v>3</v>
      </c>
    </row>
    <row r="2" spans="1:6" x14ac:dyDescent="0.3">
      <c r="A2" s="1" t="s">
        <v>6</v>
      </c>
      <c r="B2" s="3" t="s">
        <v>100</v>
      </c>
      <c r="C2" s="4" t="s">
        <v>113</v>
      </c>
      <c r="D2" s="4" t="s">
        <v>114</v>
      </c>
      <c r="E2" s="4" t="s">
        <v>115</v>
      </c>
      <c r="F2" s="4" t="s">
        <v>116</v>
      </c>
    </row>
    <row r="3" spans="1:6" x14ac:dyDescent="0.3">
      <c r="A3" s="1" t="s">
        <v>11</v>
      </c>
      <c r="B3" s="3" t="s">
        <v>101</v>
      </c>
      <c r="C3" s="4" t="s">
        <v>117</v>
      </c>
      <c r="D3" s="4" t="s">
        <v>118</v>
      </c>
      <c r="E3" s="4" t="s">
        <v>119</v>
      </c>
      <c r="F3" s="4" t="s">
        <v>116</v>
      </c>
    </row>
    <row r="4" spans="1:6" x14ac:dyDescent="0.3">
      <c r="A4" s="1" t="s">
        <v>14</v>
      </c>
      <c r="B4" s="3" t="s">
        <v>102</v>
      </c>
      <c r="C4" s="4" t="s">
        <v>120</v>
      </c>
      <c r="D4" s="4" t="s">
        <v>121</v>
      </c>
      <c r="E4" s="4" t="s">
        <v>122</v>
      </c>
      <c r="F4" s="4" t="s">
        <v>123</v>
      </c>
    </row>
    <row r="5" spans="1:6" x14ac:dyDescent="0.3">
      <c r="A5" s="1" t="s">
        <v>19</v>
      </c>
      <c r="B5" s="3" t="s">
        <v>103</v>
      </c>
      <c r="C5" s="4" t="s">
        <v>124</v>
      </c>
      <c r="D5" s="4" t="s">
        <v>125</v>
      </c>
      <c r="E5" s="4" t="s">
        <v>126</v>
      </c>
      <c r="F5" s="4" t="s">
        <v>127</v>
      </c>
    </row>
    <row r="6" spans="1:6" x14ac:dyDescent="0.3">
      <c r="A6" s="1" t="s">
        <v>24</v>
      </c>
      <c r="B6" s="3" t="s">
        <v>104</v>
      </c>
      <c r="C6" s="4" t="s">
        <v>128</v>
      </c>
      <c r="D6" s="4" t="s">
        <v>129</v>
      </c>
      <c r="E6" s="4" t="s">
        <v>130</v>
      </c>
      <c r="F6" s="4" t="s">
        <v>131</v>
      </c>
    </row>
    <row r="7" spans="1:6" x14ac:dyDescent="0.3">
      <c r="A7" s="1" t="s">
        <v>29</v>
      </c>
      <c r="B7" s="3" t="s">
        <v>105</v>
      </c>
      <c r="C7" s="4" t="s">
        <v>132</v>
      </c>
      <c r="D7" s="4" t="s">
        <v>133</v>
      </c>
      <c r="E7" s="4" t="s">
        <v>134</v>
      </c>
      <c r="F7" s="4" t="s">
        <v>116</v>
      </c>
    </row>
    <row r="8" spans="1:6" x14ac:dyDescent="0.3">
      <c r="A8" s="1" t="s">
        <v>33</v>
      </c>
      <c r="B8" s="3" t="s">
        <v>106</v>
      </c>
      <c r="C8" s="4" t="s">
        <v>135</v>
      </c>
      <c r="D8" s="4" t="s">
        <v>136</v>
      </c>
      <c r="E8" s="4" t="s">
        <v>137</v>
      </c>
      <c r="F8" s="4" t="s">
        <v>123</v>
      </c>
    </row>
    <row r="9" spans="1:6" x14ac:dyDescent="0.3">
      <c r="A9" s="1" t="s">
        <v>37</v>
      </c>
      <c r="B9" s="3" t="s">
        <v>107</v>
      </c>
      <c r="C9" s="4" t="s">
        <v>138</v>
      </c>
      <c r="D9" s="4" t="s">
        <v>139</v>
      </c>
      <c r="E9" s="4" t="s">
        <v>140</v>
      </c>
      <c r="F9" s="4" t="s">
        <v>127</v>
      </c>
    </row>
    <row r="10" spans="1:6" x14ac:dyDescent="0.3">
      <c r="A10" s="1" t="s">
        <v>41</v>
      </c>
      <c r="B10" s="3" t="s">
        <v>108</v>
      </c>
      <c r="C10" s="4" t="s">
        <v>141</v>
      </c>
      <c r="D10" s="4" t="s">
        <v>142</v>
      </c>
      <c r="E10" s="4" t="s">
        <v>143</v>
      </c>
      <c r="F10" s="4" t="s">
        <v>131</v>
      </c>
    </row>
    <row r="11" spans="1:6" x14ac:dyDescent="0.3">
      <c r="A11" s="1" t="s">
        <v>45</v>
      </c>
      <c r="B11" s="3" t="s">
        <v>109</v>
      </c>
      <c r="C11" s="4" t="s">
        <v>144</v>
      </c>
      <c r="D11" s="4" t="s">
        <v>145</v>
      </c>
      <c r="E11" s="4" t="s">
        <v>146</v>
      </c>
      <c r="F11" s="4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EB1-188C-41EF-AA94-DC352EF1CEAF}">
  <dimension ref="A1:B11"/>
  <sheetViews>
    <sheetView workbookViewId="0">
      <selection activeCell="C3" sqref="C3"/>
    </sheetView>
  </sheetViews>
  <sheetFormatPr defaultRowHeight="14.4" x14ac:dyDescent="0.3"/>
  <cols>
    <col min="1" max="1" width="26" bestFit="1" customWidth="1"/>
    <col min="2" max="2" width="13.44140625" bestFit="1" customWidth="1"/>
  </cols>
  <sheetData>
    <row r="1" spans="1:2" x14ac:dyDescent="0.3">
      <c r="A1" s="2" t="s">
        <v>147</v>
      </c>
      <c r="B1" s="2" t="s">
        <v>148</v>
      </c>
    </row>
    <row r="2" spans="1:2" x14ac:dyDescent="0.3">
      <c r="A2" s="6" t="s">
        <v>149</v>
      </c>
      <c r="B2" s="1" t="s">
        <v>150</v>
      </c>
    </row>
    <row r="3" spans="1:2" x14ac:dyDescent="0.3">
      <c r="A3" s="6" t="s">
        <v>151</v>
      </c>
      <c r="B3" s="1" t="s">
        <v>152</v>
      </c>
    </row>
    <row r="4" spans="1:2" x14ac:dyDescent="0.3">
      <c r="A4" s="6" t="s">
        <v>153</v>
      </c>
      <c r="B4" s="1" t="s">
        <v>154</v>
      </c>
    </row>
    <row r="5" spans="1:2" x14ac:dyDescent="0.3">
      <c r="A5" s="6" t="s">
        <v>155</v>
      </c>
      <c r="B5" s="1" t="s">
        <v>156</v>
      </c>
    </row>
    <row r="6" spans="1:2" x14ac:dyDescent="0.3">
      <c r="A6" s="6" t="s">
        <v>157</v>
      </c>
      <c r="B6" s="1" t="s">
        <v>158</v>
      </c>
    </row>
    <row r="7" spans="1:2" x14ac:dyDescent="0.3">
      <c r="A7" s="6" t="s">
        <v>159</v>
      </c>
      <c r="B7" s="1" t="s">
        <v>160</v>
      </c>
    </row>
    <row r="8" spans="1:2" x14ac:dyDescent="0.3">
      <c r="A8" s="6" t="s">
        <v>161</v>
      </c>
      <c r="B8" s="1" t="s">
        <v>162</v>
      </c>
    </row>
    <row r="9" spans="1:2" x14ac:dyDescent="0.3">
      <c r="A9" s="6" t="s">
        <v>163</v>
      </c>
      <c r="B9" s="1" t="s">
        <v>164</v>
      </c>
    </row>
    <row r="10" spans="1:2" x14ac:dyDescent="0.3">
      <c r="A10" s="6" t="s">
        <v>165</v>
      </c>
      <c r="B10" s="1" t="s">
        <v>166</v>
      </c>
    </row>
    <row r="11" spans="1:2" x14ac:dyDescent="0.3">
      <c r="A11" s="6" t="s">
        <v>167</v>
      </c>
      <c r="B11" s="1" t="s">
        <v>168</v>
      </c>
    </row>
  </sheetData>
  <hyperlinks>
    <hyperlink ref="A2" r:id="rId1" display="mailto:rahul.patel99@gmail.com" xr:uid="{C45442C6-63B0-4CA2-83E0-23AB07534FCD}"/>
    <hyperlink ref="A3" r:id="rId2" display="mailto:priya.shah23@gmail.com" xr:uid="{6101A894-9301-4AE5-B465-454FB01E5C53}"/>
    <hyperlink ref="A4" r:id="rId3" display="mailto:amit.mehta10@yahoo.com" xr:uid="{95874F5B-09DC-4136-B51C-01DBF303FFA8}"/>
    <hyperlink ref="A5" r:id="rId4" display="mailto:neha.patel45@gmail.com" xr:uid="{03FD5959-E577-4B1A-8570-0FDB7B36A91D}"/>
    <hyperlink ref="A6" r:id="rId5" display="mailto:arjun.shah88@outlook.com" xr:uid="{1431D6DA-82BF-45EF-B42D-2556D61499AE}"/>
    <hyperlink ref="A7" r:id="rId6" display="mailto:kavya.desai21@gmail.com" xr:uid="{D84AB482-F45B-48DF-9A16-D9D9FCC2D90D}"/>
    <hyperlink ref="A8" r:id="rId7" display="mailto:rohan.joshi77@yahoo.com" xr:uid="{28C8887C-CC78-4F71-B6CE-E9F10924E97C}"/>
    <hyperlink ref="A9" r:id="rId8" display="mailto:pooja.patel56@gmail.com" xr:uid="{B960206F-97C4-41CA-A8A0-C6DBEAE6CF02}"/>
    <hyperlink ref="A10" r:id="rId9" display="mailto:dhruv.mehta32@outlook.com" xr:uid="{FC59FB87-AE74-40D7-91DD-324F9A75D9DC}"/>
    <hyperlink ref="A11" r:id="rId10" display="mailto:simran.shah19@gmail.com" xr:uid="{EFA38C8B-F1D5-4F1B-A97F-3A333A10F2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07AF-A302-49F1-93D6-EB13B7A33388}">
  <dimension ref="A1:B11"/>
  <sheetViews>
    <sheetView workbookViewId="0">
      <selection activeCell="B12" sqref="B12"/>
    </sheetView>
  </sheetViews>
  <sheetFormatPr defaultRowHeight="14.4" x14ac:dyDescent="0.3"/>
  <cols>
    <col min="1" max="1" width="17.109375" customWidth="1"/>
    <col min="2" max="2" width="19.6640625" customWidth="1"/>
  </cols>
  <sheetData>
    <row r="1" spans="1:2" x14ac:dyDescent="0.3">
      <c r="A1" s="2" t="s">
        <v>169</v>
      </c>
      <c r="B1" s="2" t="s">
        <v>170</v>
      </c>
    </row>
    <row r="2" spans="1:2" x14ac:dyDescent="0.3">
      <c r="A2" s="1" t="s">
        <v>171</v>
      </c>
      <c r="B2" s="1">
        <v>9976543210</v>
      </c>
    </row>
    <row r="3" spans="1:2" x14ac:dyDescent="0.3">
      <c r="A3" s="1" t="s">
        <v>172</v>
      </c>
      <c r="B3" s="1">
        <v>9912345678</v>
      </c>
    </row>
    <row r="4" spans="1:2" x14ac:dyDescent="0.3">
      <c r="A4" s="1" t="s">
        <v>173</v>
      </c>
      <c r="B4" s="1">
        <v>9999765432</v>
      </c>
    </row>
    <row r="5" spans="1:2" x14ac:dyDescent="0.3">
      <c r="A5" s="1" t="s">
        <v>20</v>
      </c>
      <c r="B5" s="1">
        <v>9123456789</v>
      </c>
    </row>
    <row r="6" spans="1:2" x14ac:dyDescent="0.3">
      <c r="A6" s="1" t="s">
        <v>25</v>
      </c>
      <c r="B6" s="1">
        <v>9923456710</v>
      </c>
    </row>
    <row r="7" spans="1:2" x14ac:dyDescent="0.3">
      <c r="A7" s="1" t="s">
        <v>174</v>
      </c>
      <c r="B7" s="1">
        <v>9567891234</v>
      </c>
    </row>
    <row r="8" spans="1:2" x14ac:dyDescent="0.3">
      <c r="A8" s="1" t="s">
        <v>175</v>
      </c>
      <c r="B8" s="1">
        <v>9912345678</v>
      </c>
    </row>
    <row r="9" spans="1:2" x14ac:dyDescent="0.3">
      <c r="A9" s="1" t="s">
        <v>176</v>
      </c>
      <c r="B9" s="1">
        <v>9956123478</v>
      </c>
    </row>
    <row r="10" spans="1:2" x14ac:dyDescent="0.3">
      <c r="A10" s="1" t="s">
        <v>177</v>
      </c>
      <c r="B10" s="1">
        <v>9345678120</v>
      </c>
    </row>
    <row r="11" spans="1:2" x14ac:dyDescent="0.3">
      <c r="A11" s="1" t="s">
        <v>178</v>
      </c>
      <c r="B11" s="1">
        <v>9934567120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F117-49E5-4922-8718-DFF7B5EA1A2B}">
  <dimension ref="A1:E9"/>
  <sheetViews>
    <sheetView workbookViewId="0">
      <selection activeCell="F8" sqref="F8"/>
    </sheetView>
  </sheetViews>
  <sheetFormatPr defaultRowHeight="14.4" x14ac:dyDescent="0.3"/>
  <cols>
    <col min="1" max="1" width="19.5546875" customWidth="1"/>
    <col min="5" max="5" width="12.33203125" customWidth="1"/>
  </cols>
  <sheetData>
    <row r="1" spans="1:5" x14ac:dyDescent="0.3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183</v>
      </c>
    </row>
    <row r="2" spans="1:5" ht="15" x14ac:dyDescent="0.3">
      <c r="A2" s="1" t="s">
        <v>184</v>
      </c>
      <c r="B2" s="1">
        <v>741</v>
      </c>
      <c r="C2" s="1">
        <v>15</v>
      </c>
      <c r="D2" s="7">
        <f>B2/C2</f>
        <v>49.4</v>
      </c>
      <c r="E2" s="7">
        <f>B2/150*100</f>
        <v>494.00000000000006</v>
      </c>
    </row>
    <row r="3" spans="1:5" ht="15" x14ac:dyDescent="0.3">
      <c r="A3" s="1" t="s">
        <v>185</v>
      </c>
      <c r="B3" s="1">
        <v>332</v>
      </c>
      <c r="C3" s="1">
        <v>14</v>
      </c>
      <c r="D3" s="7">
        <f>B3/C3</f>
        <v>23.714285714285715</v>
      </c>
      <c r="E3" s="7">
        <f>B3/280*100</f>
        <v>118.57142857142857</v>
      </c>
    </row>
    <row r="4" spans="1:5" ht="15" x14ac:dyDescent="0.3">
      <c r="A4" s="1" t="s">
        <v>186</v>
      </c>
      <c r="B4" s="1">
        <v>650</v>
      </c>
      <c r="C4" s="1">
        <v>0</v>
      </c>
      <c r="D4" s="7" cm="1">
        <f t="array" ref="D4">IF(C4=0,0,_FV(B4,"C4"))</f>
        <v>0</v>
      </c>
      <c r="E4" s="7">
        <f>B4/450*100</f>
        <v>144.44444444444443</v>
      </c>
    </row>
    <row r="5" spans="1:5" ht="15" x14ac:dyDescent="0.3">
      <c r="A5" s="1" t="s">
        <v>187</v>
      </c>
      <c r="B5" s="1">
        <v>583</v>
      </c>
      <c r="C5" s="1">
        <v>14</v>
      </c>
      <c r="D5" s="7">
        <f>B5/C5</f>
        <v>41.642857142857146</v>
      </c>
      <c r="E5" s="7">
        <f>B5/400*100</f>
        <v>145.75</v>
      </c>
    </row>
    <row r="6" spans="1:5" ht="15" x14ac:dyDescent="0.3">
      <c r="A6" s="1" t="s">
        <v>188</v>
      </c>
      <c r="B6" s="1">
        <v>520</v>
      </c>
      <c r="C6" s="1">
        <v>13</v>
      </c>
      <c r="D6" s="7">
        <f>B6/C6</f>
        <v>40</v>
      </c>
      <c r="E6" s="7">
        <f>B6/500*100</f>
        <v>104</v>
      </c>
    </row>
    <row r="7" spans="1:5" ht="15" x14ac:dyDescent="0.3">
      <c r="A7" s="1" t="s">
        <v>189</v>
      </c>
      <c r="B7" s="1">
        <v>216</v>
      </c>
      <c r="C7" s="1">
        <v>12</v>
      </c>
      <c r="D7" s="7">
        <f>B7/C7</f>
        <v>18</v>
      </c>
      <c r="E7" s="7">
        <f>B7/250*100</f>
        <v>86.4</v>
      </c>
    </row>
    <row r="8" spans="1:5" ht="15" x14ac:dyDescent="0.3">
      <c r="A8" s="1" t="s">
        <v>190</v>
      </c>
      <c r="B8" s="1">
        <v>267</v>
      </c>
      <c r="C8" s="1">
        <v>16</v>
      </c>
      <c r="D8" s="7">
        <f>B8/C8</f>
        <v>16.6875</v>
      </c>
      <c r="E8" s="7">
        <f>B8/300*100</f>
        <v>89</v>
      </c>
    </row>
    <row r="9" spans="1:5" ht="15" x14ac:dyDescent="0.3">
      <c r="A9" s="1" t="s">
        <v>191</v>
      </c>
      <c r="B9" s="1">
        <v>480</v>
      </c>
      <c r="C9" s="1">
        <v>15</v>
      </c>
      <c r="D9" s="7">
        <f>B9/C9</f>
        <v>32</v>
      </c>
      <c r="E9" s="7">
        <f>B9/350*100</f>
        <v>137.14285714285714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Tasks_01</vt:lpstr>
      <vt:lpstr>Tasks_02</vt:lpstr>
      <vt:lpstr>Tasks_03</vt:lpstr>
      <vt:lpstr>Tasks_04</vt:lpstr>
      <vt:lpstr>Tasks_05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2026-09-28T05:24:46Z</dcterms:created>
  <dcterms:modified xsi:type="dcterms:W3CDTF">2026-09-28T06:31:24Z</dcterms:modified>
</cp:coreProperties>
</file>