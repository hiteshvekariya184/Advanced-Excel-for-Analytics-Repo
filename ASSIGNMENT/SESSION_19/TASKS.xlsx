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9\"/>
    </mc:Choice>
  </mc:AlternateContent>
  <xr:revisionPtr revIDLastSave="0" documentId="13_ncr:1_{5070B9E7-EFC3-4940-84CE-00574EF126A6}" xr6:coauthVersionLast="47" xr6:coauthVersionMax="47" xr10:uidLastSave="{00000000-0000-0000-0000-000000000000}"/>
  <bookViews>
    <workbookView xWindow="-108" yWindow="-108" windowWidth="23256" windowHeight="12576" tabRatio="645" activeTab="4" xr2:uid="{2163D549-2AF1-41FC-ADC9-52FC4CD0BDEA}"/>
  </bookViews>
  <sheets>
    <sheet name="DATASET" sheetId="1" r:id="rId1"/>
    <sheet name="Cuisine_Summary" sheetId="3" r:id="rId2"/>
    <sheet name="Monthwise_Summary" sheetId="7" r:id="rId3"/>
    <sheet name="Revenue_Trend" sheetId="10" r:id="rId4"/>
    <sheet name="DASHBOARD" sheetId="2" r:id="rId5"/>
  </sheets>
  <definedNames>
    <definedName name="_xlchart.v1.0" hidden="1">Monthwise_Summary!#REF!</definedName>
    <definedName name="_xlchart.v1.1" hidden="1">Monthwise_Summary!#REF!</definedName>
    <definedName name="_xlchart.v1.2" hidden="1">Monthwise_Summary!$A$4:$A$16</definedName>
    <definedName name="_xlchart.v1.3" hidden="1">Monthwise_Summary!$B$4:$B$16</definedName>
    <definedName name="_xlchart.v1.4" hidden="1">Monthwise_Summary!$A$4:$A$16</definedName>
    <definedName name="_xlchart.v1.5" hidden="1">Monthwise_Summary!$B$4:$B$16</definedName>
    <definedName name="_xlchart.v1.6" hidden="1">Monthwise_Summary!$A$4:$A$16</definedName>
    <definedName name="_xlchart.v1.7" hidden="1">Monthwise_Summary!$B$4:$B$16</definedName>
  </definedNames>
  <calcPr calcId="191029"/>
  <pivotCaches>
    <pivotCache cacheId="27" r:id="rId6"/>
    <pivotCache cacheId="2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J2" i="1"/>
  <c r="K2" i="1" s="1"/>
  <c r="J3" i="1"/>
  <c r="K3" i="1" s="1"/>
  <c r="J4" i="1"/>
  <c r="K4" i="1" s="1"/>
  <c r="J5" i="1"/>
  <c r="K5" i="1" s="1"/>
  <c r="J6" i="1"/>
  <c r="J7" i="1"/>
  <c r="K7" i="1" s="1"/>
  <c r="J8" i="1"/>
  <c r="K8" i="1" s="1"/>
  <c r="J9" i="1"/>
  <c r="K9" i="1" s="1"/>
  <c r="J10" i="1"/>
  <c r="J11" i="1"/>
  <c r="J12" i="1"/>
  <c r="K12" i="1" s="1"/>
  <c r="J13" i="1"/>
  <c r="K13" i="1" s="1"/>
  <c r="Q4" i="2"/>
  <c r="I4" i="2"/>
  <c r="A4" i="2"/>
  <c r="K10" i="1" l="1"/>
  <c r="K6" i="1"/>
  <c r="K14" i="1" s="1"/>
  <c r="K11" i="1"/>
</calcChain>
</file>

<file path=xl/sharedStrings.xml><?xml version="1.0" encoding="utf-8"?>
<sst xmlns="http://schemas.openxmlformats.org/spreadsheetml/2006/main" count="668" uniqueCount="181">
  <si>
    <t>Order ID</t>
  </si>
  <si>
    <t>Order Date</t>
  </si>
  <si>
    <t>Restaurant</t>
  </si>
  <si>
    <t>City</t>
  </si>
  <si>
    <t>Cuisine</t>
  </si>
  <si>
    <t>Order Amount</t>
  </si>
  <si>
    <t>O001</t>
  </si>
  <si>
    <t>Spice Villa</t>
  </si>
  <si>
    <t>Ahmedabad</t>
  </si>
  <si>
    <t>Indian</t>
  </si>
  <si>
    <t>Rahul</t>
  </si>
  <si>
    <t>O002</t>
  </si>
  <si>
    <t>Pizza Hub</t>
  </si>
  <si>
    <t>Surat</t>
  </si>
  <si>
    <t>Italian</t>
  </si>
  <si>
    <t>Amit</t>
  </si>
  <si>
    <t>O003</t>
  </si>
  <si>
    <t>Chinese Wok</t>
  </si>
  <si>
    <t>Rajkot</t>
  </si>
  <si>
    <t>Chinese</t>
  </si>
  <si>
    <t>Neha</t>
  </si>
  <si>
    <t>O004</t>
  </si>
  <si>
    <t>Burger Point</t>
  </si>
  <si>
    <t>Fast Food</t>
  </si>
  <si>
    <t>Jay</t>
  </si>
  <si>
    <t>O005</t>
  </si>
  <si>
    <t>South Spice</t>
  </si>
  <si>
    <t>Vadodara</t>
  </si>
  <si>
    <t>South Indian</t>
  </si>
  <si>
    <t>Priya</t>
  </si>
  <si>
    <t>O006</t>
  </si>
  <si>
    <t>Tandoori House</t>
  </si>
  <si>
    <t>O007</t>
  </si>
  <si>
    <t>Pasta House</t>
  </si>
  <si>
    <t>O008</t>
  </si>
  <si>
    <t>Dosa Corner</t>
  </si>
  <si>
    <t>O009</t>
  </si>
  <si>
    <t>Urban Tadka</t>
  </si>
  <si>
    <t>O010</t>
  </si>
  <si>
    <t>O011</t>
  </si>
  <si>
    <t>O012</t>
  </si>
  <si>
    <t>O013</t>
  </si>
  <si>
    <t>O014</t>
  </si>
  <si>
    <t>Green Leaf</t>
  </si>
  <si>
    <t>Healthy</t>
  </si>
  <si>
    <t>O015</t>
  </si>
  <si>
    <t>Royal Biryani</t>
  </si>
  <si>
    <t>O016</t>
  </si>
  <si>
    <t>O017</t>
  </si>
  <si>
    <t>O018</t>
  </si>
  <si>
    <t>Grill Nation</t>
  </si>
  <si>
    <t>O019</t>
  </si>
  <si>
    <t>Mumbai Masala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</si>
  <si>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</si>
  <si>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</si>
  <si>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</si>
  <si>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</si>
  <si>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</si>
  <si>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</si>
  <si>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</si>
  <si>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</si>
  <si>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</si>
  <si>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</si>
  <si>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</si>
  <si>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</si>
  <si>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</si>
  <si>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</si>
  <si>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</si>
  <si>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</si>
  <si>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</si>
  <si>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</si>
  <si>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</si>
  <si>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</si>
  <si>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</si>
  <si>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</si>
  <si>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</si>
  <si>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</si>
  <si>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</si>
  <si>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</si>
  <si>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</si>
  <si>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</si>
  <si>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</si>
  <si>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</si>
  <si>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</si>
  <si>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Count of Order ID</t>
  </si>
  <si>
    <t>Row Labels</t>
  </si>
  <si>
    <t>Grand Total</t>
  </si>
  <si>
    <t>Jan</t>
  </si>
  <si>
    <t>Feb</t>
  </si>
  <si>
    <t>Customer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</si>
  <si>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</si>
  <si>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</si>
  <si>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</si>
  <si>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</si>
  <si>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</si>
  <si>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</si>
  <si>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</si>
  <si>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</si>
  <si>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</si>
  <si>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</si>
  <si>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</si>
  <si>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</si>
  <si>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</si>
  <si>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</si>
  <si>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</si>
  <si>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</si>
  <si>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</si>
  <si>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</si>
  <si>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</si>
  <si>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</si>
  <si>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</si>
  <si>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</si>
  <si>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</si>
  <si>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</si>
  <si>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</si>
  <si>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</si>
  <si>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</si>
  <si>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</si>
  <si>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</si>
  <si>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</si>
  <si>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</si>
  <si>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</si>
  <si>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</si>
  <si>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</si>
  <si>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</si>
  <si>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</si>
  <si>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</si>
  <si>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</si>
  <si>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</si>
  <si>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</si>
  <si>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</si>
  <si>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</si>
  <si>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</si>
  <si>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</si>
  <si>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</si>
  <si>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</si>
  <si>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</si>
  <si>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</si>
  <si>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</si>
  <si>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</si>
  <si>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</si>
  <si>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</si>
  <si>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</si>
  <si>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</si>
  <si>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</si>
  <si>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</si>
  <si>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</si>
  <si>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</si>
  <si>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</si>
  <si>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</si>
  <si>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</si>
  <si>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</si>
  <si>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</si>
  <si>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</si>
  <si>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</si>
  <si>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</si>
  <si>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</si>
  <si>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</si>
  <si>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</si>
  <si>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</si>
  <si>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</si>
  <si>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</si>
  <si>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</si>
  <si>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</si>
  <si>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</si>
  <si>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</si>
  <si>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</si>
  <si>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</si>
  <si>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</si>
  <si>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</si>
  <si>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</si>
  <si>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Total Revenue</t>
  </si>
  <si>
    <t>No. of Month</t>
  </si>
  <si>
    <t>Changes</t>
  </si>
  <si>
    <t>Ending</t>
  </si>
  <si>
    <t>Sum of Changes</t>
  </si>
  <si>
    <t>(blank)</t>
  </si>
  <si>
    <t>Sum of Order Amount</t>
  </si>
  <si>
    <t>FOOD DELIVERY ANALYTICS DASHBOARD
Jan - Dec 2026</t>
  </si>
  <si>
    <t>KEY INSIGHTS</t>
  </si>
  <si>
    <t>💰 Total Revenue -                              ₹70,780
📈 Highest Revenue Month              November – ₹6,680
📉 Lowest Revenue Month	           January – ₹5,020
⬆️ Largest Increase	                          February – ₹790
⬇️ Largest Decrease	                          June – ₹730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</si>
</sst>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7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[TASKS.xlsx]Cuisine_Summary!PivotTable1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/>
              <a:t>Cuisine Summary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Cuisine_Summary!$B$3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25-455A-A031-DFBDB2BA9CC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25-455A-A031-DFBDB2BA9CC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25-455A-A031-DFBDB2BA9CC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25-455A-A031-DFBDB2BA9CCF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25-455A-A031-DFBDB2BA9CCF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25-455A-A031-DFBDB2BA9CC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Cuisine_Summary!$A$4:$A$10</c:f>
              <c:strCache>
                <c:ptCount val="6"/>
                <c:pt idx="0">
                  <c:v>Indian</c:v>
                </c:pt>
                <c:pt idx="1">
                  <c:v>Italian</c:v>
                </c:pt>
                <c:pt idx="2">
                  <c:v>South Indian</c:v>
                </c:pt>
                <c:pt idx="3">
                  <c:v>Fast Food</c:v>
                </c:pt>
                <c:pt idx="4">
                  <c:v>Chinese</c:v>
                </c:pt>
                <c:pt idx="5">
                  <c:v>Healthy</c:v>
                </c:pt>
              </c:strCache>
            </c:strRef>
          </c:cat>
          <c:val>
            <c:numRef>
              <c:f>Cuisine_Summary!$B$4:$B$10</c:f>
              <c:numCache>
                <c:formatCode>General</c:formatCode>
                <c:ptCount val="6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18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6-4700-965A-57212513D5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[TASKS.xlsx]Revenue_Trend!PivotTable6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Revenue_Trend!$B$4:$B$16</c:f>
              <c:numCache>
                <c:formatCode>General</c:formatCode>
                <c:ptCount val="12"/>
                <c:pt idx="0">
                  <c:v>5020</c:v>
                </c:pt>
                <c:pt idx="1">
                  <c:v>5810</c:v>
                </c:pt>
                <c:pt idx="2">
                  <c:v>5280</c:v>
                </c:pt>
                <c:pt idx="3">
                  <c:v>5660</c:v>
                </c:pt>
                <c:pt idx="4">
                  <c:v>6190</c:v>
                </c:pt>
                <c:pt idx="5">
                  <c:v>5460</c:v>
                </c:pt>
                <c:pt idx="6">
                  <c:v>6090</c:v>
                </c:pt>
                <c:pt idx="7">
                  <c:v>5780</c:v>
                </c:pt>
                <c:pt idx="8">
                  <c:v>6460</c:v>
                </c:pt>
                <c:pt idx="9">
                  <c:v>6040</c:v>
                </c:pt>
                <c:pt idx="10">
                  <c:v>6680</c:v>
                </c:pt>
                <c:pt idx="11">
                  <c:v>6310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8-48BC-BF6E-F8E5536C63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2035519"/>
        <c:axId val="372035935"/>
      </c:lineChart>
      <c:catAx>
        <c:axId val="3720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35935"/>
        <c:crosses val="autoZero"/>
        <c:auto val="1"/>
        <c:lblAlgn val="ctr"/>
        <c:lblOffset val="100"/>
        <c:noMultiLvlLbl val="0"/>
      </c:catAx>
      <c:valAx>
        <c:axId val="3720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35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[TASKS.xlsx]Cuisine_Summary!PivotTable1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/>
              <a:t>Cuisine Summary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765096584150004"/>
          <c:y val="0.25641391677185388"/>
          <c:w val="0.43940217904416623"/>
          <c:h val="0.74358608322814612"/>
        </c:manualLayout>
      </c:layout>
      <c:doughnutChart>
        <c:varyColors val="1"/>
        <c:ser>
          <c:idx val="0"/>
          <c:order val="0"/>
          <c:tx>
            <c:strRef>
              <c:f>Cuisine_Summary!$B$3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44-49EB-956E-B32F13C4B3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44-49EB-956E-B32F13C4B30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44-49EB-956E-B32F13C4B30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44-49EB-956E-B32F13C4B30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44-49EB-956E-B32F13C4B304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944-49EB-956E-B32F13C4B30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Cuisine_Summary!$A$4:$A$10</c:f>
              <c:strCache>
                <c:ptCount val="6"/>
                <c:pt idx="0">
                  <c:v>Indian</c:v>
                </c:pt>
                <c:pt idx="1">
                  <c:v>Italian</c:v>
                </c:pt>
                <c:pt idx="2">
                  <c:v>South Indian</c:v>
                </c:pt>
                <c:pt idx="3">
                  <c:v>Fast Food</c:v>
                </c:pt>
                <c:pt idx="4">
                  <c:v>Chinese</c:v>
                </c:pt>
                <c:pt idx="5">
                  <c:v>Healthy</c:v>
                </c:pt>
              </c:strCache>
            </c:strRef>
          </c:cat>
          <c:val>
            <c:numRef>
              <c:f>Cuisine_Summary!$B$4:$B$10</c:f>
              <c:numCache>
                <c:formatCode>General</c:formatCode>
                <c:ptCount val="6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18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44-49EB-956E-B32F13C4B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1654264819594646"/>
          <c:y val="0.19470703591028393"/>
          <c:w val="0.17308390782065106"/>
          <c:h val="0.6356567644953471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[TASKS.xlsx]Revenue_Trend!PivotTable6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Revenue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Revenue_Trend!$B$4:$B$16</c:f>
              <c:numCache>
                <c:formatCode>General</c:formatCode>
                <c:ptCount val="12"/>
                <c:pt idx="0">
                  <c:v>5020</c:v>
                </c:pt>
                <c:pt idx="1">
                  <c:v>5810</c:v>
                </c:pt>
                <c:pt idx="2">
                  <c:v>5280</c:v>
                </c:pt>
                <c:pt idx="3">
                  <c:v>5660</c:v>
                </c:pt>
                <c:pt idx="4">
                  <c:v>6190</c:v>
                </c:pt>
                <c:pt idx="5">
                  <c:v>5460</c:v>
                </c:pt>
                <c:pt idx="6">
                  <c:v>6090</c:v>
                </c:pt>
                <c:pt idx="7">
                  <c:v>5780</c:v>
                </c:pt>
                <c:pt idx="8">
                  <c:v>6460</c:v>
                </c:pt>
                <c:pt idx="9">
                  <c:v>6040</c:v>
                </c:pt>
                <c:pt idx="10">
                  <c:v>6680</c:v>
                </c:pt>
                <c:pt idx="11">
                  <c:v>6310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5-400F-B801-6DFFD9333A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2035519"/>
        <c:axId val="372035935"/>
      </c:lineChart>
      <c:catAx>
        <c:axId val="3720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35935"/>
        <c:crosses val="autoZero"/>
        <c:auto val="1"/>
        <c:lblAlgn val="ctr"/>
        <c:lblOffset val="100"/>
        <c:noMultiLvlLbl val="0"/>
      </c:catAx>
      <c:valAx>
        <c:axId val="3720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35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MonthWise Changes update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MonthWise Changes update</a:t>
          </a:r>
        </a:p>
      </cx:txPr>
    </cx:title>
    <cx:plotArea>
      <cx:plotAreaRegion>
        <cx:series layoutId="waterfall" uniqueId="{524AF701-B1E4-432B-B676-6C2AA308C433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en-US" sz="105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MonthWise Changes update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MonthWise Changes update</a:t>
          </a:r>
        </a:p>
      </cx:txPr>
    </cx:title>
    <cx:plotArea>
      <cx:plotAreaRegion>
        <cx:series layoutId="waterfall" uniqueId="{524AF701-B1E4-432B-B676-6C2AA308C433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en-US" sz="105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102870</xdr:rowOff>
    </xdr:from>
    <xdr:to>
      <xdr:col>10</xdr:col>
      <xdr:colOff>289560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C23EE-13B1-400E-A26B-EE1F22A5B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2</xdr:row>
      <xdr:rowOff>95250</xdr:rowOff>
    </xdr:from>
    <xdr:to>
      <xdr:col>12</xdr:col>
      <xdr:colOff>22860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49560DF-6AC8-4F1B-A58F-5C44338ED2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6520" y="461010"/>
              <a:ext cx="5349240" cy="3021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179070</xdr:rowOff>
    </xdr:from>
    <xdr:to>
      <xdr:col>13</xdr:col>
      <xdr:colOff>601980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EB7CE-E4EF-42EA-8657-18E7B848B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7</xdr:col>
      <xdr:colOff>0</xdr:colOff>
      <xdr:row>4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831E66-7A57-44F6-BBC2-A9C41DEAC056}"/>
            </a:ext>
          </a:extLst>
        </xdr:cNvPr>
        <xdr:cNvSpPr/>
      </xdr:nvSpPr>
      <xdr:spPr>
        <a:xfrm>
          <a:off x="0" y="556260"/>
          <a:ext cx="4267200" cy="3505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Minimum Order Value</a:t>
          </a:r>
        </a:p>
      </xdr:txBody>
    </xdr:sp>
    <xdr:clientData/>
  </xdr:twoCellAnchor>
  <xdr:twoCellAnchor>
    <xdr:from>
      <xdr:col>8</xdr:col>
      <xdr:colOff>15240</xdr:colOff>
      <xdr:row>3</xdr:row>
      <xdr:rowOff>15240</xdr:rowOff>
    </xdr:from>
    <xdr:to>
      <xdr:col>14</xdr:col>
      <xdr:colOff>601980</xdr:colOff>
      <xdr:row>5</xdr:row>
      <xdr:rowOff>15240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BEE786-8484-49F7-8D5F-9B64DE43E148}"/>
            </a:ext>
          </a:extLst>
        </xdr:cNvPr>
        <xdr:cNvSpPr/>
      </xdr:nvSpPr>
      <xdr:spPr>
        <a:xfrm>
          <a:off x="4892040" y="563880"/>
          <a:ext cx="4244340" cy="3657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Average Order Value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7620</xdr:colOff>
      <xdr:row>3</xdr:row>
      <xdr:rowOff>7620</xdr:rowOff>
    </xdr:from>
    <xdr:to>
      <xdr:col>23</xdr:col>
      <xdr:colOff>594360</xdr:colOff>
      <xdr:row>5</xdr:row>
      <xdr:rowOff>22860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572DC10-4E56-4625-95F5-47957B3C8259}"/>
            </a:ext>
          </a:extLst>
        </xdr:cNvPr>
        <xdr:cNvSpPr/>
      </xdr:nvSpPr>
      <xdr:spPr>
        <a:xfrm>
          <a:off x="9761220" y="556260"/>
          <a:ext cx="4853940" cy="381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Average Order Value</a:t>
          </a:r>
        </a:p>
      </xdr:txBody>
    </xdr:sp>
    <xdr:clientData/>
  </xdr:twoCellAnchor>
  <xdr:twoCellAnchor>
    <xdr:from>
      <xdr:col>12</xdr:col>
      <xdr:colOff>30480</xdr:colOff>
      <xdr:row>7</xdr:row>
      <xdr:rowOff>0</xdr:rowOff>
    </xdr:from>
    <xdr:to>
      <xdr:col>24</xdr:col>
      <xdr:colOff>7620</xdr:colOff>
      <xdr:row>23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5E1CE7-ECD9-4918-B881-5CBD19436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91440</xdr:rowOff>
    </xdr:from>
    <xdr:to>
      <xdr:col>23</xdr:col>
      <xdr:colOff>594360</xdr:colOff>
      <xdr:row>39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AE1E41-36BD-4699-9B03-C71B6CAD8F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97680"/>
              <a:ext cx="14615160" cy="3009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</xdr:row>
      <xdr:rowOff>7620</xdr:rowOff>
    </xdr:from>
    <xdr:to>
      <xdr:col>12</xdr:col>
      <xdr:colOff>30480</xdr:colOff>
      <xdr:row>23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1F474A-B888-4EC5-B4FE-2E8EFC0F6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3.636818287036" createdVersion="7" refreshedVersion="7" minRefreshableVersion="3" recordCount="120" xr:uid="{3557DDCA-499E-4AE0-985B-C422DD114517}">
  <cacheSource type="worksheet">
    <worksheetSource name="Table1"/>
  </cacheSource>
  <cacheFields count="8">
    <cacheField name="Order ID" numFmtId="0">
      <sharedItems/>
    </cacheField>
    <cacheField name="Order Date" numFmtId="15">
      <sharedItems containsSemiMixedTypes="0" containsNonDate="0" containsDate="1" containsString="0" minDate="2026-01-05T00:00:00" maxDate="2026-12-31T00:00:00" count="120">
        <d v="2026-01-05T00:00:00"/>
        <d v="2026-01-08T00:00:00"/>
        <d v="2026-01-10T00:00:00"/>
        <d v="2026-01-12T00:00:00"/>
        <d v="2026-01-15T00:00:00"/>
        <d v="2026-01-18T00:00:00"/>
        <d v="2026-01-21T00:00:00"/>
        <d v="2026-01-24T00:00:00"/>
        <d v="2026-01-27T00:00:00"/>
        <d v="2026-01-30T00:00:00"/>
        <d v="2026-02-03T00:00:00"/>
        <d v="2026-02-06T00:00:00"/>
        <d v="2026-02-09T00:00:00"/>
        <d v="2026-02-12T00:00:00"/>
        <d v="2026-02-14T00:00:00"/>
        <d v="2026-02-17T00:00:00"/>
        <d v="2026-02-20T00:00:00"/>
        <d v="2026-02-23T00:00:00"/>
        <d v="2026-02-26T00:00:00"/>
        <d v="2026-02-28T00:00:00"/>
        <d v="2026-03-03T00:00:00"/>
        <d v="2026-03-06T00:00:00"/>
        <d v="2026-03-09T00:00:00"/>
        <d v="2026-03-12T00:00:00"/>
        <d v="2026-03-15T00:00:00"/>
        <d v="2026-03-18T00:00:00"/>
        <d v="2026-03-21T00:00:00"/>
        <d v="2026-03-24T00:00:00"/>
        <d v="2026-03-27T00:00:00"/>
        <d v="2026-03-30T00:00:00"/>
        <d v="2026-04-02T00:00:00"/>
        <d v="2026-04-05T00:00:00"/>
        <d v="2026-04-08T00:00:00"/>
        <d v="2026-04-11T00:00:00"/>
        <d v="2026-04-14T00:00:00"/>
        <d v="2026-04-17T00:00:00"/>
        <d v="2026-04-20T00:00:00"/>
        <d v="2026-04-23T00:00:00"/>
        <d v="2026-04-26T00:00:00"/>
        <d v="2026-04-29T00:00:00"/>
        <d v="2026-05-03T00:00:00"/>
        <d v="2026-05-06T00:00:00"/>
        <d v="2026-05-09T00:00:00"/>
        <d v="2026-05-12T00:00:00"/>
        <d v="2026-05-15T00:00:00"/>
        <d v="2026-05-18T00:00:00"/>
        <d v="2026-05-21T00:00:00"/>
        <d v="2026-05-24T00:00:00"/>
        <d v="2026-05-27T00:00:00"/>
        <d v="2026-05-30T00:00:00"/>
        <d v="2026-06-03T00:00:00"/>
        <d v="2026-06-06T00:00:00"/>
        <d v="2026-06-09T00:00:00"/>
        <d v="2026-06-12T00:00:00"/>
        <d v="2026-06-15T00:00:00"/>
        <d v="2026-06-18T00:00:00"/>
        <d v="2026-06-21T00:00:00"/>
        <d v="2026-06-24T00:00:00"/>
        <d v="2026-06-27T00:00:00"/>
        <d v="2026-06-30T00:00:00"/>
        <d v="2026-07-03T00:00:00"/>
        <d v="2026-07-06T00:00:00"/>
        <d v="2026-07-09T00:00:00"/>
        <d v="2026-07-12T00:00:00"/>
        <d v="2026-07-15T00:00:00"/>
        <d v="2026-07-18T00:00:00"/>
        <d v="2026-07-21T00:00:00"/>
        <d v="2026-07-24T00:00:00"/>
        <d v="2026-07-27T00:00:00"/>
        <d v="2026-07-30T00:00:00"/>
        <d v="2026-08-03T00:00:00"/>
        <d v="2026-08-06T00:00:00"/>
        <d v="2026-08-09T00:00:00"/>
        <d v="2026-08-12T00:00:00"/>
        <d v="2026-08-15T00:00:00"/>
        <d v="2026-08-18T00:00:00"/>
        <d v="2026-08-21T00:00:00"/>
        <d v="2026-08-24T00:00:00"/>
        <d v="2026-08-27T00:00:00"/>
        <d v="2026-08-30T00:00:00"/>
        <d v="2026-09-03T00:00:00"/>
        <d v="2026-09-06T00:00:00"/>
        <d v="2026-09-09T00:00:00"/>
        <d v="2026-09-12T00:00:00"/>
        <d v="2026-09-15T00:00:00"/>
        <d v="2026-09-18T00:00:00"/>
        <d v="2026-09-21T00:00:00"/>
        <d v="2026-09-24T00:00:00"/>
        <d v="2026-09-27T00:00:00"/>
        <d v="2026-09-30T00:00:00"/>
        <d v="2026-10-03T00:00:00"/>
        <d v="2026-10-06T00:00:00"/>
        <d v="2026-10-09T00:00:00"/>
        <d v="2026-10-12T00:00:00"/>
        <d v="2026-10-15T00:00:00"/>
        <d v="2026-10-18T00:00:00"/>
        <d v="2026-10-21T00:00:00"/>
        <d v="2026-10-24T00:00:00"/>
        <d v="2026-10-27T00:00:00"/>
        <d v="2026-10-30T00:00:00"/>
        <d v="2026-11-03T00:00:00"/>
        <d v="2026-11-06T00:00:00"/>
        <d v="2026-11-09T00:00:00"/>
        <d v="2026-11-12T00:00:00"/>
        <d v="2026-11-15T00:00:00"/>
        <d v="2026-11-18T00:00:00"/>
        <d v="2026-11-21T00:00:00"/>
        <d v="2026-11-24T00:00:00"/>
        <d v="2026-11-27T00:00:00"/>
        <d v="2026-11-30T00:00:00"/>
        <d v="2026-12-03T00:00:00"/>
        <d v="2026-12-06T00:00:00"/>
        <d v="2026-12-09T00:00:00"/>
        <d v="2026-12-12T00:00:00"/>
        <d v="2026-12-15T00:00:00"/>
        <d v="2026-12-18T00:00:00"/>
        <d v="2026-12-21T00:00:00"/>
        <d v="2026-12-24T00:00:00"/>
        <d v="2026-12-27T00:00:00"/>
        <d v="2026-12-30T00:00:00"/>
      </sharedItems>
      <fieldGroup par="7" base="1">
        <rangePr groupBy="days" startDate="2026-01-05T00:00:00" endDate="2026-12-3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6"/>
        </groupItems>
      </fieldGroup>
    </cacheField>
    <cacheField name="Restaurant" numFmtId="0">
      <sharedItems/>
    </cacheField>
    <cacheField name="City" numFmtId="0">
      <sharedItems/>
    </cacheField>
    <cacheField name="Cuisine" numFmtId="0">
      <sharedItems count="6">
        <s v="Indian"/>
        <s v="Italian"/>
        <s v="Chinese"/>
        <s v="Fast Food"/>
        <s v="South Indian"/>
        <s v="Healthy"/>
      </sharedItems>
    </cacheField>
    <cacheField name="Customer" numFmtId="0">
      <sharedItems/>
    </cacheField>
    <cacheField name="Order Amount" numFmtId="0">
      <sharedItems containsSemiMixedTypes="0" containsString="0" containsNumber="1" containsInteger="1" minValue="270" maxValue="900"/>
    </cacheField>
    <cacheField name="Months" numFmtId="0" databaseField="0">
      <fieldGroup base="1">
        <rangePr groupBy="months" startDate="2026-01-05T00:00:00" endDate="2026-12-3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 pivotCacheId="159508030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3.702160763889" createdVersion="7" refreshedVersion="7" minRefreshableVersion="3" recordCount="120" xr:uid="{BE77BBF3-DB3C-4298-8D90-ABF664932396}">
  <cacheSource type="worksheet">
    <worksheetSource ref="A1:K121" sheet="DATASET"/>
  </cacheSource>
  <cacheFields count="12">
    <cacheField name="Order ID" numFmtId="0">
      <sharedItems/>
    </cacheField>
    <cacheField name="Order Date" numFmtId="15">
      <sharedItems containsSemiMixedTypes="0" containsNonDate="0" containsDate="1" containsString="0" minDate="2026-01-05T00:00:00" maxDate="2026-12-31T00:00:00" count="120">
        <d v="2026-01-05T00:00:00"/>
        <d v="2026-01-08T00:00:00"/>
        <d v="2026-01-10T00:00:00"/>
        <d v="2026-01-12T00:00:00"/>
        <d v="2026-01-15T00:00:00"/>
        <d v="2026-01-18T00:00:00"/>
        <d v="2026-01-21T00:00:00"/>
        <d v="2026-01-24T00:00:00"/>
        <d v="2026-01-27T00:00:00"/>
        <d v="2026-01-30T00:00:00"/>
        <d v="2026-02-03T00:00:00"/>
        <d v="2026-02-06T00:00:00"/>
        <d v="2026-02-09T00:00:00"/>
        <d v="2026-02-12T00:00:00"/>
        <d v="2026-02-14T00:00:00"/>
        <d v="2026-02-17T00:00:00"/>
        <d v="2026-02-20T00:00:00"/>
        <d v="2026-02-23T00:00:00"/>
        <d v="2026-02-26T00:00:00"/>
        <d v="2026-02-28T00:00:00"/>
        <d v="2026-03-03T00:00:00"/>
        <d v="2026-03-06T00:00:00"/>
        <d v="2026-03-09T00:00:00"/>
        <d v="2026-03-12T00:00:00"/>
        <d v="2026-03-15T00:00:00"/>
        <d v="2026-03-18T00:00:00"/>
        <d v="2026-03-21T00:00:00"/>
        <d v="2026-03-24T00:00:00"/>
        <d v="2026-03-27T00:00:00"/>
        <d v="2026-03-30T00:00:00"/>
        <d v="2026-04-02T00:00:00"/>
        <d v="2026-04-05T00:00:00"/>
        <d v="2026-04-08T00:00:00"/>
        <d v="2026-04-11T00:00:00"/>
        <d v="2026-04-14T00:00:00"/>
        <d v="2026-04-17T00:00:00"/>
        <d v="2026-04-20T00:00:00"/>
        <d v="2026-04-23T00:00:00"/>
        <d v="2026-04-26T00:00:00"/>
        <d v="2026-04-29T00:00:00"/>
        <d v="2026-05-03T00:00:00"/>
        <d v="2026-05-06T00:00:00"/>
        <d v="2026-05-09T00:00:00"/>
        <d v="2026-05-12T00:00:00"/>
        <d v="2026-05-15T00:00:00"/>
        <d v="2026-05-18T00:00:00"/>
        <d v="2026-05-21T00:00:00"/>
        <d v="2026-05-24T00:00:00"/>
        <d v="2026-05-27T00:00:00"/>
        <d v="2026-05-30T00:00:00"/>
        <d v="2026-06-03T00:00:00"/>
        <d v="2026-06-06T00:00:00"/>
        <d v="2026-06-09T00:00:00"/>
        <d v="2026-06-12T00:00:00"/>
        <d v="2026-06-15T00:00:00"/>
        <d v="2026-06-18T00:00:00"/>
        <d v="2026-06-21T00:00:00"/>
        <d v="2026-06-24T00:00:00"/>
        <d v="2026-06-27T00:00:00"/>
        <d v="2026-06-30T00:00:00"/>
        <d v="2026-07-03T00:00:00"/>
        <d v="2026-07-06T00:00:00"/>
        <d v="2026-07-09T00:00:00"/>
        <d v="2026-07-12T00:00:00"/>
        <d v="2026-07-15T00:00:00"/>
        <d v="2026-07-18T00:00:00"/>
        <d v="2026-07-21T00:00:00"/>
        <d v="2026-07-24T00:00:00"/>
        <d v="2026-07-27T00:00:00"/>
        <d v="2026-07-30T00:00:00"/>
        <d v="2026-08-03T00:00:00"/>
        <d v="2026-08-06T00:00:00"/>
        <d v="2026-08-09T00:00:00"/>
        <d v="2026-08-12T00:00:00"/>
        <d v="2026-08-15T00:00:00"/>
        <d v="2026-08-18T00:00:00"/>
        <d v="2026-08-21T00:00:00"/>
        <d v="2026-08-24T00:00:00"/>
        <d v="2026-08-27T00:00:00"/>
        <d v="2026-08-30T00:00:00"/>
        <d v="2026-09-03T00:00:00"/>
        <d v="2026-09-06T00:00:00"/>
        <d v="2026-09-09T00:00:00"/>
        <d v="2026-09-12T00:00:00"/>
        <d v="2026-09-15T00:00:00"/>
        <d v="2026-09-18T00:00:00"/>
        <d v="2026-09-21T00:00:00"/>
        <d v="2026-09-24T00:00:00"/>
        <d v="2026-09-27T00:00:00"/>
        <d v="2026-09-30T00:00:00"/>
        <d v="2026-10-03T00:00:00"/>
        <d v="2026-10-06T00:00:00"/>
        <d v="2026-10-09T00:00:00"/>
        <d v="2026-10-12T00:00:00"/>
        <d v="2026-10-15T00:00:00"/>
        <d v="2026-10-18T00:00:00"/>
        <d v="2026-10-21T00:00:00"/>
        <d v="2026-10-24T00:00:00"/>
        <d v="2026-10-27T00:00:00"/>
        <d v="2026-10-30T00:00:00"/>
        <d v="2026-11-03T00:00:00"/>
        <d v="2026-11-06T00:00:00"/>
        <d v="2026-11-09T00:00:00"/>
        <d v="2026-11-12T00:00:00"/>
        <d v="2026-11-15T00:00:00"/>
        <d v="2026-11-18T00:00:00"/>
        <d v="2026-11-21T00:00:00"/>
        <d v="2026-11-24T00:00:00"/>
        <d v="2026-11-27T00:00:00"/>
        <d v="2026-11-30T00:00:00"/>
        <d v="2026-12-03T00:00:00"/>
        <d v="2026-12-06T00:00:00"/>
        <d v="2026-12-09T00:00:00"/>
        <d v="2026-12-12T00:00:00"/>
        <d v="2026-12-15T00:00:00"/>
        <d v="2026-12-18T00:00:00"/>
        <d v="2026-12-21T00:00:00"/>
        <d v="2026-12-24T00:00:00"/>
        <d v="2026-12-27T00:00:00"/>
        <d v="2026-12-30T00:00:00"/>
      </sharedItems>
      <fieldGroup par="11" base="1">
        <rangePr groupBy="days" startDate="2026-01-05T00:00:00" endDate="2026-12-3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6"/>
        </groupItems>
      </fieldGroup>
    </cacheField>
    <cacheField name="Restaurant" numFmtId="0">
      <sharedItems/>
    </cacheField>
    <cacheField name="City" numFmtId="0">
      <sharedItems/>
    </cacheField>
    <cacheField name="Cuisine" numFmtId="0">
      <sharedItems/>
    </cacheField>
    <cacheField name="Customer" numFmtId="0">
      <sharedItems/>
    </cacheField>
    <cacheField name="Order Amount" numFmtId="0">
      <sharedItems containsSemiMixedTypes="0" containsString="0" containsNumber="1" containsInteger="1" minValue="270" maxValue="900"/>
    </cacheField>
    <cacheField name="Months" numFmtId="0">
      <sharedItems containsBlank="1" count="14">
        <s v="Jan"/>
        <s v="Feb"/>
        <s v="Mar"/>
        <s v="Apr"/>
        <s v="May"/>
        <s v="Jun"/>
        <s v="Jul"/>
        <s v="Aug"/>
        <s v="Sep"/>
        <s v="Oct"/>
        <s v="Nov"/>
        <s v="Dec"/>
        <s v="Ending"/>
        <m/>
      </sharedItems>
    </cacheField>
    <cacheField name="No. of Month" numFmtId="0">
      <sharedItems containsString="0" containsBlank="1" containsNumber="1" containsInteger="1" minValue="1" maxValue="12"/>
    </cacheField>
    <cacheField name="Total Revenue" numFmtId="0">
      <sharedItems containsString="0" containsBlank="1" containsNumber="1" containsInteger="1" minValue="0" maxValue="6680"/>
    </cacheField>
    <cacheField name="Changes" numFmtId="0">
      <sharedItems containsString="0" containsBlank="1" containsNumber="1" containsInteger="1" minValue="-730" maxValue="6310"/>
    </cacheField>
    <cacheField name="Months2" numFmtId="0" databaseField="0">
      <fieldGroup base="1">
        <rangePr groupBy="months" startDate="2026-01-05T00:00:00" endDate="2026-12-3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001"/>
    <x v="0"/>
    <s v="Spice Villa"/>
    <s v="Ahmedabad"/>
    <x v="0"/>
    <s v="Rahul"/>
    <n v="450"/>
  </r>
  <r>
    <s v="O002"/>
    <x v="1"/>
    <s v="Pizza Hub"/>
    <s v="Surat"/>
    <x v="1"/>
    <s v="Amit"/>
    <n v="620"/>
  </r>
  <r>
    <s v="O003"/>
    <x v="2"/>
    <s v="Chinese Wok"/>
    <s v="Rajkot"/>
    <x v="2"/>
    <s v="Neha"/>
    <n v="380"/>
  </r>
  <r>
    <s v="O004"/>
    <x v="3"/>
    <s v="Burger Point"/>
    <s v="Ahmedabad"/>
    <x v="3"/>
    <s v="Jay"/>
    <n v="520"/>
  </r>
  <r>
    <s v="O005"/>
    <x v="4"/>
    <s v="South Spice"/>
    <s v="Vadodara"/>
    <x v="4"/>
    <s v="Priya"/>
    <n v="310"/>
  </r>
  <r>
    <s v="O006"/>
    <x v="5"/>
    <s v="Tandoori House"/>
    <s v="Surat"/>
    <x v="0"/>
    <s v="Rahul"/>
    <n v="780"/>
  </r>
  <r>
    <s v="O007"/>
    <x v="6"/>
    <s v="Pasta House"/>
    <s v="Ahmedabad"/>
    <x v="1"/>
    <s v="Amit"/>
    <n v="650"/>
  </r>
  <r>
    <s v="O008"/>
    <x v="7"/>
    <s v="Dosa Corner"/>
    <s v="Rajkot"/>
    <x v="4"/>
    <s v="Neha"/>
    <n v="290"/>
  </r>
  <r>
    <s v="O009"/>
    <x v="8"/>
    <s v="Urban Tadka"/>
    <s v="Vadodara"/>
    <x v="0"/>
    <s v="Jay"/>
    <n v="540"/>
  </r>
  <r>
    <s v="O010"/>
    <x v="9"/>
    <s v="Burger Point"/>
    <s v="Ahmedabad"/>
    <x v="3"/>
    <s v="Priya"/>
    <n v="480"/>
  </r>
  <r>
    <s v="O011"/>
    <x v="10"/>
    <s v="Pizza Hub"/>
    <s v="Surat"/>
    <x v="1"/>
    <s v="Rahul"/>
    <n v="720"/>
  </r>
  <r>
    <s v="O012"/>
    <x v="11"/>
    <s v="Chinese Wok"/>
    <s v="Rajkot"/>
    <x v="2"/>
    <s v="Amit"/>
    <n v="430"/>
  </r>
  <r>
    <s v="O013"/>
    <x v="12"/>
    <s v="Spice Villa"/>
    <s v="Ahmedabad"/>
    <x v="0"/>
    <s v="Neha"/>
    <n v="560"/>
  </r>
  <r>
    <s v="O014"/>
    <x v="13"/>
    <s v="Green Leaf"/>
    <s v="Vadodara"/>
    <x v="5"/>
    <s v="Jay"/>
    <n v="350"/>
  </r>
  <r>
    <s v="O015"/>
    <x v="14"/>
    <s v="Royal Biryani"/>
    <s v="Surat"/>
    <x v="0"/>
    <s v="Priya"/>
    <n v="690"/>
  </r>
  <r>
    <s v="O016"/>
    <x v="15"/>
    <s v="Pasta House"/>
    <s v="Ahmedabad"/>
    <x v="1"/>
    <s v="Rahul"/>
    <n v="820"/>
  </r>
  <r>
    <s v="O017"/>
    <x v="16"/>
    <s v="Dosa Corner"/>
    <s v="Rajkot"/>
    <x v="4"/>
    <s v="Amit"/>
    <n v="270"/>
  </r>
  <r>
    <s v="O018"/>
    <x v="17"/>
    <s v="Grill Nation"/>
    <s v="Vadodara"/>
    <x v="3"/>
    <s v="Neha"/>
    <n v="590"/>
  </r>
  <r>
    <s v="O019"/>
    <x v="18"/>
    <s v="Mumbai Masala"/>
    <s v="Surat"/>
    <x v="0"/>
    <s v="Jay"/>
    <n v="630"/>
  </r>
  <r>
    <s v="O020"/>
    <x v="19"/>
    <s v="Pizza Hub"/>
    <s v="Ahmedabad"/>
    <x v="1"/>
    <s v="Priya"/>
    <n v="750"/>
  </r>
  <r>
    <s v="O021"/>
    <x v="20"/>
    <s v="Chinese Wok"/>
    <s v="Rajkot"/>
    <x v="2"/>
    <s v="Rahul"/>
    <n v="410"/>
  </r>
  <r>
    <s v="O022"/>
    <x v="21"/>
    <s v="Spice Villa"/>
    <s v="Vadodara"/>
    <x v="0"/>
    <s v="Amit"/>
    <n v="520"/>
  </r>
  <r>
    <s v="O023"/>
    <x v="22"/>
    <s v="Burger Point"/>
    <s v="Ahmedabad"/>
    <x v="3"/>
    <s v="Neha"/>
    <n v="460"/>
  </r>
  <r>
    <s v="O024"/>
    <x v="23"/>
    <s v="South Spice"/>
    <s v="Surat"/>
    <x v="4"/>
    <s v="Jay"/>
    <n v="330"/>
  </r>
  <r>
    <s v="O025"/>
    <x v="24"/>
    <s v="Tandoori House"/>
    <s v="Rajkot"/>
    <x v="0"/>
    <s v="Priya"/>
    <n v="810"/>
  </r>
  <r>
    <s v="O026"/>
    <x v="25"/>
    <s v="Pasta House"/>
    <s v="Ahmedabad"/>
    <x v="1"/>
    <s v="Rahul"/>
    <n v="690"/>
  </r>
  <r>
    <s v="O027"/>
    <x v="26"/>
    <s v="Dosa Corner"/>
    <s v="Vadodara"/>
    <x v="4"/>
    <s v="Amit"/>
    <n v="310"/>
  </r>
  <r>
    <s v="O028"/>
    <x v="27"/>
    <s v="Urban Tadka"/>
    <s v="Surat"/>
    <x v="0"/>
    <s v="Neha"/>
    <n v="570"/>
  </r>
  <r>
    <s v="O029"/>
    <x v="28"/>
    <s v="Green Leaf"/>
    <s v="Rajkot"/>
    <x v="5"/>
    <s v="Jay"/>
    <n v="420"/>
  </r>
  <r>
    <s v="O030"/>
    <x v="29"/>
    <s v="Royal Biryani"/>
    <s v="Ahmedabad"/>
    <x v="0"/>
    <s v="Priya"/>
    <n v="760"/>
  </r>
  <r>
    <s v="O031"/>
    <x v="30"/>
    <s v="Pizza Hub"/>
    <s v="Vadodara"/>
    <x v="1"/>
    <s v="Rahul"/>
    <n v="680"/>
  </r>
  <r>
    <s v="O032"/>
    <x v="31"/>
    <s v="Chinese Wok"/>
    <s v="Surat"/>
    <x v="2"/>
    <s v="Amit"/>
    <n v="490"/>
  </r>
  <r>
    <s v="O033"/>
    <x v="32"/>
    <s v="Spice Villa"/>
    <s v="Ahmedabad"/>
    <x v="0"/>
    <s v="Neha"/>
    <n v="580"/>
  </r>
  <r>
    <s v="O034"/>
    <x v="33"/>
    <s v="Burger Point"/>
    <s v="Rajkot"/>
    <x v="3"/>
    <s v="Jay"/>
    <n v="520"/>
  </r>
  <r>
    <s v="O035"/>
    <x v="34"/>
    <s v="South Spice"/>
    <s v="Vadodara"/>
    <x v="4"/>
    <s v="Priya"/>
    <n v="340"/>
  </r>
  <r>
    <s v="O036"/>
    <x v="35"/>
    <s v="Tandoori House"/>
    <s v="Ahmedabad"/>
    <x v="0"/>
    <s v="Rahul"/>
    <n v="870"/>
  </r>
  <r>
    <s v="O037"/>
    <x v="36"/>
    <s v="Pasta House"/>
    <s v="Surat"/>
    <x v="1"/>
    <s v="Amit"/>
    <n v="740"/>
  </r>
  <r>
    <s v="O038"/>
    <x v="37"/>
    <s v="Dosa Corner"/>
    <s v="Rajkot"/>
    <x v="4"/>
    <s v="Neha"/>
    <n v="280"/>
  </r>
  <r>
    <s v="O039"/>
    <x v="38"/>
    <s v="Urban Tadka"/>
    <s v="Vadodara"/>
    <x v="0"/>
    <s v="Jay"/>
    <n v="610"/>
  </r>
  <r>
    <s v="O040"/>
    <x v="39"/>
    <s v="Grill Nation"/>
    <s v="Ahmedabad"/>
    <x v="3"/>
    <s v="Priya"/>
    <n v="550"/>
  </r>
  <r>
    <s v="O041"/>
    <x v="40"/>
    <s v="Pizza Hub"/>
    <s v="Surat"/>
    <x v="1"/>
    <s v="Rahul"/>
    <n v="790"/>
  </r>
  <r>
    <s v="O042"/>
    <x v="41"/>
    <s v="Chinese Wok"/>
    <s v="Rajkot"/>
    <x v="2"/>
    <s v="Amit"/>
    <n v="450"/>
  </r>
  <r>
    <s v="O043"/>
    <x v="42"/>
    <s v="Spice Villa"/>
    <s v="Ahmedabad"/>
    <x v="0"/>
    <s v="Neha"/>
    <n v="620"/>
  </r>
  <r>
    <s v="O044"/>
    <x v="43"/>
    <s v="Green Leaf"/>
    <s v="Vadodara"/>
    <x v="5"/>
    <s v="Jay"/>
    <n v="390"/>
  </r>
  <r>
    <s v="O045"/>
    <x v="44"/>
    <s v="Royal Biryani"/>
    <s v="Surat"/>
    <x v="0"/>
    <s v="Priya"/>
    <n v="840"/>
  </r>
  <r>
    <s v="O046"/>
    <x v="45"/>
    <s v="Pasta House"/>
    <s v="Ahmedabad"/>
    <x v="1"/>
    <s v="Rahul"/>
    <n v="720"/>
  </r>
  <r>
    <s v="O047"/>
    <x v="46"/>
    <s v="Dosa Corner"/>
    <s v="Rajkot"/>
    <x v="4"/>
    <s v="Amit"/>
    <n v="320"/>
  </r>
  <r>
    <s v="O048"/>
    <x v="47"/>
    <s v="Burger Point"/>
    <s v="Vadodara"/>
    <x v="3"/>
    <s v="Neha"/>
    <n v="580"/>
  </r>
  <r>
    <s v="O049"/>
    <x v="48"/>
    <s v="Mumbai Masala"/>
    <s v="Surat"/>
    <x v="0"/>
    <s v="Jay"/>
    <n v="670"/>
  </r>
  <r>
    <s v="O050"/>
    <x v="49"/>
    <s v="Pizza Hub"/>
    <s v="Ahmedabad"/>
    <x v="1"/>
    <s v="Priya"/>
    <n v="810"/>
  </r>
  <r>
    <s v="O051"/>
    <x v="50"/>
    <s v="Spice Villa"/>
    <s v="Ahmedabad"/>
    <x v="0"/>
    <s v="Rahul"/>
    <n v="490"/>
  </r>
  <r>
    <s v="O052"/>
    <x v="51"/>
    <s v="Pizza Hub"/>
    <s v="Surat"/>
    <x v="1"/>
    <s v="Amit"/>
    <n v="650"/>
  </r>
  <r>
    <s v="O053"/>
    <x v="52"/>
    <s v="Chinese Wok"/>
    <s v="Rajkot"/>
    <x v="2"/>
    <s v="Neha"/>
    <n v="440"/>
  </r>
  <r>
    <s v="O054"/>
    <x v="53"/>
    <s v="Burger Point"/>
    <s v="Ahmedabad"/>
    <x v="3"/>
    <s v="Jay"/>
    <n v="560"/>
  </r>
  <r>
    <s v="O055"/>
    <x v="54"/>
    <s v="South Spice"/>
    <s v="Vadodara"/>
    <x v="4"/>
    <s v="Priya"/>
    <n v="350"/>
  </r>
  <r>
    <s v="O056"/>
    <x v="55"/>
    <s v="Tandoori House"/>
    <s v="Surat"/>
    <x v="0"/>
    <s v="Rahul"/>
    <n v="760"/>
  </r>
  <r>
    <s v="O057"/>
    <x v="56"/>
    <s v="Pasta House"/>
    <s v="Ahmedabad"/>
    <x v="1"/>
    <s v="Amit"/>
    <n v="710"/>
  </r>
  <r>
    <s v="O058"/>
    <x v="57"/>
    <s v="Dosa Corner"/>
    <s v="Rajkot"/>
    <x v="4"/>
    <s v="Neha"/>
    <n v="300"/>
  </r>
  <r>
    <s v="O059"/>
    <x v="58"/>
    <s v="Urban Tadka"/>
    <s v="Vadodara"/>
    <x v="0"/>
    <s v="Jay"/>
    <n v="590"/>
  </r>
  <r>
    <s v="O060"/>
    <x v="59"/>
    <s v="Grill Nation"/>
    <s v="Ahmedabad"/>
    <x v="3"/>
    <s v="Priya"/>
    <n v="610"/>
  </r>
  <r>
    <s v="O061"/>
    <x v="60"/>
    <s v="Pizza Hub"/>
    <s v="Surat"/>
    <x v="1"/>
    <s v="Rahul"/>
    <n v="730"/>
  </r>
  <r>
    <s v="O062"/>
    <x v="61"/>
    <s v="Chinese Wok"/>
    <s v="Rajkot"/>
    <x v="2"/>
    <s v="Amit"/>
    <n v="420"/>
  </r>
  <r>
    <s v="O063"/>
    <x v="62"/>
    <s v="Spice Villa"/>
    <s v="Ahmedabad"/>
    <x v="0"/>
    <s v="Neha"/>
    <n v="600"/>
  </r>
  <r>
    <s v="O064"/>
    <x v="63"/>
    <s v="Green Leaf"/>
    <s v="Vadodara"/>
    <x v="5"/>
    <s v="Jay"/>
    <n v="370"/>
  </r>
  <r>
    <s v="O065"/>
    <x v="64"/>
    <s v="Royal Biryani"/>
    <s v="Surat"/>
    <x v="0"/>
    <s v="Priya"/>
    <n v="820"/>
  </r>
  <r>
    <s v="O066"/>
    <x v="65"/>
    <s v="Pasta House"/>
    <s v="Ahmedabad"/>
    <x v="1"/>
    <s v="Rahul"/>
    <n v="780"/>
  </r>
  <r>
    <s v="O067"/>
    <x v="66"/>
    <s v="Dosa Corner"/>
    <s v="Rajkot"/>
    <x v="4"/>
    <s v="Amit"/>
    <n v="290"/>
  </r>
  <r>
    <s v="O068"/>
    <x v="67"/>
    <s v="Burger Point"/>
    <s v="Vadodara"/>
    <x v="3"/>
    <s v="Neha"/>
    <n v="540"/>
  </r>
  <r>
    <s v="O069"/>
    <x v="68"/>
    <s v="Mumbai Masala"/>
    <s v="Surat"/>
    <x v="0"/>
    <s v="Jay"/>
    <n v="690"/>
  </r>
  <r>
    <s v="O070"/>
    <x v="69"/>
    <s v="Pizza Hub"/>
    <s v="Ahmedabad"/>
    <x v="1"/>
    <s v="Priya"/>
    <n v="850"/>
  </r>
  <r>
    <s v="O071"/>
    <x v="70"/>
    <s v="Spice Villa"/>
    <s v="Ahmedabad"/>
    <x v="0"/>
    <s v="Rahul"/>
    <n v="530"/>
  </r>
  <r>
    <s v="O072"/>
    <x v="71"/>
    <s v="Pizza Hub"/>
    <s v="Surat"/>
    <x v="1"/>
    <s v="Amit"/>
    <n v="680"/>
  </r>
  <r>
    <s v="O073"/>
    <x v="72"/>
    <s v="Chinese Wok"/>
    <s v="Rajkot"/>
    <x v="2"/>
    <s v="Neha"/>
    <n v="470"/>
  </r>
  <r>
    <s v="O074"/>
    <x v="73"/>
    <s v="Burger Point"/>
    <s v="Ahmedabad"/>
    <x v="3"/>
    <s v="Jay"/>
    <n v="590"/>
  </r>
  <r>
    <s v="O075"/>
    <x v="74"/>
    <s v="South Spice"/>
    <s v="Vadodara"/>
    <x v="4"/>
    <s v="Priya"/>
    <n v="360"/>
  </r>
  <r>
    <s v="O076"/>
    <x v="75"/>
    <s v="Tandoori House"/>
    <s v="Surat"/>
    <x v="0"/>
    <s v="Rahul"/>
    <n v="800"/>
  </r>
  <r>
    <s v="O077"/>
    <x v="76"/>
    <s v="Pasta House"/>
    <s v="Ahmedabad"/>
    <x v="1"/>
    <s v="Amit"/>
    <n v="760"/>
  </r>
  <r>
    <s v="O078"/>
    <x v="77"/>
    <s v="Dosa Corner"/>
    <s v="Rajkot"/>
    <x v="4"/>
    <s v="Neha"/>
    <n v="330"/>
  </r>
  <r>
    <s v="O079"/>
    <x v="78"/>
    <s v="Urban Tadka"/>
    <s v="Vadodara"/>
    <x v="0"/>
    <s v="Jay"/>
    <n v="620"/>
  </r>
  <r>
    <s v="O080"/>
    <x v="79"/>
    <s v="Grill Nation"/>
    <s v="Ahmedabad"/>
    <x v="3"/>
    <s v="Priya"/>
    <n v="640"/>
  </r>
  <r>
    <s v="O081"/>
    <x v="80"/>
    <s v="Pizza Hub"/>
    <s v="Surat"/>
    <x v="1"/>
    <s v="Rahul"/>
    <n v="760"/>
  </r>
  <r>
    <s v="O082"/>
    <x v="81"/>
    <s v="Chinese Wok"/>
    <s v="Rajkot"/>
    <x v="2"/>
    <s v="Amit"/>
    <n v="460"/>
  </r>
  <r>
    <s v="O083"/>
    <x v="82"/>
    <s v="Spice Villa"/>
    <s v="Ahmedabad"/>
    <x v="0"/>
    <s v="Neha"/>
    <n v="640"/>
  </r>
  <r>
    <s v="O084"/>
    <x v="83"/>
    <s v="Green Leaf"/>
    <s v="Vadodara"/>
    <x v="5"/>
    <s v="Jay"/>
    <n v="410"/>
  </r>
  <r>
    <s v="O085"/>
    <x v="84"/>
    <s v="Royal Biryani"/>
    <s v="Surat"/>
    <x v="0"/>
    <s v="Priya"/>
    <n v="880"/>
  </r>
  <r>
    <s v="O086"/>
    <x v="85"/>
    <s v="Pasta House"/>
    <s v="Ahmedabad"/>
    <x v="1"/>
    <s v="Rahul"/>
    <n v="800"/>
  </r>
  <r>
    <s v="O087"/>
    <x v="86"/>
    <s v="Dosa Corner"/>
    <s v="Rajkot"/>
    <x v="4"/>
    <s v="Amit"/>
    <n v="340"/>
  </r>
  <r>
    <s v="O088"/>
    <x v="87"/>
    <s v="Burger Point"/>
    <s v="Vadodara"/>
    <x v="3"/>
    <s v="Neha"/>
    <n v="600"/>
  </r>
  <r>
    <s v="O089"/>
    <x v="88"/>
    <s v="Mumbai Masala"/>
    <s v="Surat"/>
    <x v="0"/>
    <s v="Jay"/>
    <n v="710"/>
  </r>
  <r>
    <s v="O090"/>
    <x v="89"/>
    <s v="Pizza Hub"/>
    <s v="Ahmedabad"/>
    <x v="1"/>
    <s v="Priya"/>
    <n v="860"/>
  </r>
  <r>
    <s v="O091"/>
    <x v="90"/>
    <s v="Spice Villa"/>
    <s v="Ahmedabad"/>
    <x v="0"/>
    <s v="Rahul"/>
    <n v="560"/>
  </r>
  <r>
    <s v="O092"/>
    <x v="91"/>
    <s v="Pizza Hub"/>
    <s v="Surat"/>
    <x v="1"/>
    <s v="Amit"/>
    <n v="710"/>
  </r>
  <r>
    <s v="O093"/>
    <x v="92"/>
    <s v="Chinese Wok"/>
    <s v="Rajkot"/>
    <x v="2"/>
    <s v="Neha"/>
    <n v="480"/>
  </r>
  <r>
    <s v="O094"/>
    <x v="93"/>
    <s v="Burger Point"/>
    <s v="Ahmedabad"/>
    <x v="3"/>
    <s v="Jay"/>
    <n v="620"/>
  </r>
  <r>
    <s v="O095"/>
    <x v="94"/>
    <s v="South Spice"/>
    <s v="Vadodara"/>
    <x v="4"/>
    <s v="Priya"/>
    <n v="380"/>
  </r>
  <r>
    <s v="O096"/>
    <x v="95"/>
    <s v="Tandoori House"/>
    <s v="Surat"/>
    <x v="0"/>
    <s v="Rahul"/>
    <n v="830"/>
  </r>
  <r>
    <s v="O097"/>
    <x v="96"/>
    <s v="Pasta House"/>
    <s v="Ahmedabad"/>
    <x v="1"/>
    <s v="Amit"/>
    <n v="790"/>
  </r>
  <r>
    <s v="O098"/>
    <x v="97"/>
    <s v="Dosa Corner"/>
    <s v="Rajkot"/>
    <x v="4"/>
    <s v="Neha"/>
    <n v="350"/>
  </r>
  <r>
    <s v="O099"/>
    <x v="98"/>
    <s v="Urban Tadka"/>
    <s v="Vadodara"/>
    <x v="0"/>
    <s v="Jay"/>
    <n v="650"/>
  </r>
  <r>
    <s v="O100"/>
    <x v="99"/>
    <s v="Grill Nation"/>
    <s v="Ahmedabad"/>
    <x v="3"/>
    <s v="Priya"/>
    <n v="670"/>
  </r>
  <r>
    <s v="O101"/>
    <x v="100"/>
    <s v="Pizza Hub"/>
    <s v="Surat"/>
    <x v="1"/>
    <s v="Rahul"/>
    <n v="780"/>
  </r>
  <r>
    <s v="O102"/>
    <x v="101"/>
    <s v="Chinese Wok"/>
    <s v="Rajkot"/>
    <x v="2"/>
    <s v="Amit"/>
    <n v="490"/>
  </r>
  <r>
    <s v="O103"/>
    <x v="102"/>
    <s v="Spice Villa"/>
    <s v="Ahmedabad"/>
    <x v="0"/>
    <s v="Neha"/>
    <n v="660"/>
  </r>
  <r>
    <s v="O104"/>
    <x v="103"/>
    <s v="Green Leaf"/>
    <s v="Vadodara"/>
    <x v="5"/>
    <s v="Jay"/>
    <n v="430"/>
  </r>
  <r>
    <s v="O105"/>
    <x v="104"/>
    <s v="Royal Biryani"/>
    <s v="Surat"/>
    <x v="0"/>
    <s v="Priya"/>
    <n v="900"/>
  </r>
  <r>
    <s v="O106"/>
    <x v="105"/>
    <s v="Pasta House"/>
    <s v="Ahmedabad"/>
    <x v="1"/>
    <s v="Rahul"/>
    <n v="820"/>
  </r>
  <r>
    <s v="O107"/>
    <x v="106"/>
    <s v="Dosa Corner"/>
    <s v="Rajkot"/>
    <x v="4"/>
    <s v="Amit"/>
    <n v="360"/>
  </r>
  <r>
    <s v="O108"/>
    <x v="107"/>
    <s v="Burger Point"/>
    <s v="Vadodara"/>
    <x v="3"/>
    <s v="Neha"/>
    <n v="630"/>
  </r>
  <r>
    <s v="O109"/>
    <x v="108"/>
    <s v="Mumbai Masala"/>
    <s v="Surat"/>
    <x v="0"/>
    <s v="Jay"/>
    <n v="730"/>
  </r>
  <r>
    <s v="O110"/>
    <x v="109"/>
    <s v="Pizza Hub"/>
    <s v="Ahmedabad"/>
    <x v="1"/>
    <s v="Priya"/>
    <n v="880"/>
  </r>
  <r>
    <s v="O111"/>
    <x v="110"/>
    <s v="Spice Villa"/>
    <s v="Ahmedabad"/>
    <x v="0"/>
    <s v="Rahul"/>
    <n v="590"/>
  </r>
  <r>
    <s v="O112"/>
    <x v="111"/>
    <s v="Pizza Hub"/>
    <s v="Surat"/>
    <x v="1"/>
    <s v="Amit"/>
    <n v="740"/>
  </r>
  <r>
    <s v="O113"/>
    <x v="112"/>
    <s v="Chinese Wok"/>
    <s v="Rajkot"/>
    <x v="2"/>
    <s v="Neha"/>
    <n v="510"/>
  </r>
  <r>
    <s v="O114"/>
    <x v="113"/>
    <s v="Burger Point"/>
    <s v="Ahmedabad"/>
    <x v="3"/>
    <s v="Jay"/>
    <n v="650"/>
  </r>
  <r>
    <s v="O115"/>
    <x v="114"/>
    <s v="South Spice"/>
    <s v="Vadodara"/>
    <x v="4"/>
    <s v="Priya"/>
    <n v="390"/>
  </r>
  <r>
    <s v="O116"/>
    <x v="115"/>
    <s v="Tandoori House"/>
    <s v="Surat"/>
    <x v="0"/>
    <s v="Rahul"/>
    <n v="850"/>
  </r>
  <r>
    <s v="O117"/>
    <x v="116"/>
    <s v="Pasta House"/>
    <s v="Ahmedabad"/>
    <x v="1"/>
    <s v="Amit"/>
    <n v="830"/>
  </r>
  <r>
    <s v="O118"/>
    <x v="117"/>
    <s v="Dosa Corner"/>
    <s v="Rajkot"/>
    <x v="4"/>
    <s v="Neha"/>
    <n v="370"/>
  </r>
  <r>
    <s v="O119"/>
    <x v="118"/>
    <s v="Urban Tadka"/>
    <s v="Vadodara"/>
    <x v="0"/>
    <s v="Jay"/>
    <n v="680"/>
  </r>
  <r>
    <s v="O120"/>
    <x v="119"/>
    <s v="Grill Nation"/>
    <s v="Ahmedabad"/>
    <x v="3"/>
    <s v="Priya"/>
    <n v="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001"/>
    <x v="0"/>
    <s v="Spice Villa"/>
    <s v="Ahmedabad"/>
    <s v="Indian"/>
    <s v="Rahul"/>
    <n v="450"/>
    <x v="0"/>
    <n v="1"/>
    <n v="5020"/>
    <n v="5020"/>
  </r>
  <r>
    <s v="O002"/>
    <x v="1"/>
    <s v="Pizza Hub"/>
    <s v="Surat"/>
    <s v="Italian"/>
    <s v="Amit"/>
    <n v="620"/>
    <x v="1"/>
    <n v="2"/>
    <n v="5810"/>
    <n v="790"/>
  </r>
  <r>
    <s v="O003"/>
    <x v="2"/>
    <s v="Chinese Wok"/>
    <s v="Rajkot"/>
    <s v="Chinese"/>
    <s v="Neha"/>
    <n v="380"/>
    <x v="2"/>
    <n v="3"/>
    <n v="5280"/>
    <n v="-530"/>
  </r>
  <r>
    <s v="O004"/>
    <x v="3"/>
    <s v="Burger Point"/>
    <s v="Ahmedabad"/>
    <s v="Fast Food"/>
    <s v="Jay"/>
    <n v="520"/>
    <x v="3"/>
    <n v="4"/>
    <n v="5660"/>
    <n v="380"/>
  </r>
  <r>
    <s v="O005"/>
    <x v="4"/>
    <s v="South Spice"/>
    <s v="Vadodara"/>
    <s v="South Indian"/>
    <s v="Priya"/>
    <n v="310"/>
    <x v="4"/>
    <n v="5"/>
    <n v="6190"/>
    <n v="530"/>
  </r>
  <r>
    <s v="O006"/>
    <x v="5"/>
    <s v="Tandoori House"/>
    <s v="Surat"/>
    <s v="Indian"/>
    <s v="Rahul"/>
    <n v="780"/>
    <x v="5"/>
    <n v="6"/>
    <n v="5460"/>
    <n v="-730"/>
  </r>
  <r>
    <s v="O007"/>
    <x v="6"/>
    <s v="Pasta House"/>
    <s v="Ahmedabad"/>
    <s v="Italian"/>
    <s v="Amit"/>
    <n v="650"/>
    <x v="6"/>
    <n v="7"/>
    <n v="6090"/>
    <n v="630"/>
  </r>
  <r>
    <s v="O008"/>
    <x v="7"/>
    <s v="Dosa Corner"/>
    <s v="Rajkot"/>
    <s v="South Indian"/>
    <s v="Neha"/>
    <n v="290"/>
    <x v="7"/>
    <n v="8"/>
    <n v="5780"/>
    <n v="-310"/>
  </r>
  <r>
    <s v="O009"/>
    <x v="8"/>
    <s v="Urban Tadka"/>
    <s v="Vadodara"/>
    <s v="Indian"/>
    <s v="Jay"/>
    <n v="540"/>
    <x v="8"/>
    <n v="9"/>
    <n v="6460"/>
    <n v="680"/>
  </r>
  <r>
    <s v="O010"/>
    <x v="9"/>
    <s v="Burger Point"/>
    <s v="Ahmedabad"/>
    <s v="Fast Food"/>
    <s v="Priya"/>
    <n v="480"/>
    <x v="9"/>
    <n v="10"/>
    <n v="6040"/>
    <n v="-420"/>
  </r>
  <r>
    <s v="O011"/>
    <x v="10"/>
    <s v="Pizza Hub"/>
    <s v="Surat"/>
    <s v="Italian"/>
    <s v="Rahul"/>
    <n v="720"/>
    <x v="10"/>
    <n v="11"/>
    <n v="6680"/>
    <n v="640"/>
  </r>
  <r>
    <s v="O012"/>
    <x v="11"/>
    <s v="Chinese Wok"/>
    <s v="Rajkot"/>
    <s v="Chinese"/>
    <s v="Amit"/>
    <n v="430"/>
    <x v="11"/>
    <n v="12"/>
    <n v="6310"/>
    <n v="-370"/>
  </r>
  <r>
    <s v="O013"/>
    <x v="12"/>
    <s v="Spice Villa"/>
    <s v="Ahmedabad"/>
    <s v="Indian"/>
    <s v="Neha"/>
    <n v="560"/>
    <x v="12"/>
    <m/>
    <n v="0"/>
    <n v="6310"/>
  </r>
  <r>
    <s v="O014"/>
    <x v="13"/>
    <s v="Green Leaf"/>
    <s v="Vadodara"/>
    <s v="Healthy"/>
    <s v="Jay"/>
    <n v="350"/>
    <x v="13"/>
    <m/>
    <m/>
    <m/>
  </r>
  <r>
    <s v="O015"/>
    <x v="14"/>
    <s v="Royal Biryani"/>
    <s v="Surat"/>
    <s v="Indian"/>
    <s v="Priya"/>
    <n v="690"/>
    <x v="13"/>
    <m/>
    <m/>
    <m/>
  </r>
  <r>
    <s v="O016"/>
    <x v="15"/>
    <s v="Pasta House"/>
    <s v="Ahmedabad"/>
    <s v="Italian"/>
    <s v="Rahul"/>
    <n v="820"/>
    <x v="13"/>
    <m/>
    <m/>
    <m/>
  </r>
  <r>
    <s v="O017"/>
    <x v="16"/>
    <s v="Dosa Corner"/>
    <s v="Rajkot"/>
    <s v="South Indian"/>
    <s v="Amit"/>
    <n v="270"/>
    <x v="13"/>
    <m/>
    <m/>
    <m/>
  </r>
  <r>
    <s v="O018"/>
    <x v="17"/>
    <s v="Grill Nation"/>
    <s v="Vadodara"/>
    <s v="Fast Food"/>
    <s v="Neha"/>
    <n v="590"/>
    <x v="13"/>
    <m/>
    <m/>
    <m/>
  </r>
  <r>
    <s v="O019"/>
    <x v="18"/>
    <s v="Mumbai Masala"/>
    <s v="Surat"/>
    <s v="Indian"/>
    <s v="Jay"/>
    <n v="630"/>
    <x v="13"/>
    <m/>
    <m/>
    <m/>
  </r>
  <r>
    <s v="O020"/>
    <x v="19"/>
    <s v="Pizza Hub"/>
    <s v="Ahmedabad"/>
    <s v="Italian"/>
    <s v="Priya"/>
    <n v="750"/>
    <x v="13"/>
    <m/>
    <m/>
    <m/>
  </r>
  <r>
    <s v="O021"/>
    <x v="20"/>
    <s v="Chinese Wok"/>
    <s v="Rajkot"/>
    <s v="Chinese"/>
    <s v="Rahul"/>
    <n v="410"/>
    <x v="13"/>
    <m/>
    <m/>
    <m/>
  </r>
  <r>
    <s v="O022"/>
    <x v="21"/>
    <s v="Spice Villa"/>
    <s v="Vadodara"/>
    <s v="Indian"/>
    <s v="Amit"/>
    <n v="520"/>
    <x v="13"/>
    <m/>
    <m/>
    <m/>
  </r>
  <r>
    <s v="O023"/>
    <x v="22"/>
    <s v="Burger Point"/>
    <s v="Ahmedabad"/>
    <s v="Fast Food"/>
    <s v="Neha"/>
    <n v="460"/>
    <x v="13"/>
    <m/>
    <m/>
    <m/>
  </r>
  <r>
    <s v="O024"/>
    <x v="23"/>
    <s v="South Spice"/>
    <s v="Surat"/>
    <s v="South Indian"/>
    <s v="Jay"/>
    <n v="330"/>
    <x v="13"/>
    <m/>
    <m/>
    <m/>
  </r>
  <r>
    <s v="O025"/>
    <x v="24"/>
    <s v="Tandoori House"/>
    <s v="Rajkot"/>
    <s v="Indian"/>
    <s v="Priya"/>
    <n v="810"/>
    <x v="13"/>
    <m/>
    <m/>
    <m/>
  </r>
  <r>
    <s v="O026"/>
    <x v="25"/>
    <s v="Pasta House"/>
    <s v="Ahmedabad"/>
    <s v="Italian"/>
    <s v="Rahul"/>
    <n v="690"/>
    <x v="13"/>
    <m/>
    <m/>
    <m/>
  </r>
  <r>
    <s v="O027"/>
    <x v="26"/>
    <s v="Dosa Corner"/>
    <s v="Vadodara"/>
    <s v="South Indian"/>
    <s v="Amit"/>
    <n v="310"/>
    <x v="13"/>
    <m/>
    <m/>
    <m/>
  </r>
  <r>
    <s v="O028"/>
    <x v="27"/>
    <s v="Urban Tadka"/>
    <s v="Surat"/>
    <s v="Indian"/>
    <s v="Neha"/>
    <n v="570"/>
    <x v="13"/>
    <m/>
    <m/>
    <m/>
  </r>
  <r>
    <s v="O029"/>
    <x v="28"/>
    <s v="Green Leaf"/>
    <s v="Rajkot"/>
    <s v="Healthy"/>
    <s v="Jay"/>
    <n v="420"/>
    <x v="13"/>
    <m/>
    <m/>
    <m/>
  </r>
  <r>
    <s v="O030"/>
    <x v="29"/>
    <s v="Royal Biryani"/>
    <s v="Ahmedabad"/>
    <s v="Indian"/>
    <s v="Priya"/>
    <n v="760"/>
    <x v="13"/>
    <m/>
    <m/>
    <m/>
  </r>
  <r>
    <s v="O031"/>
    <x v="30"/>
    <s v="Pizza Hub"/>
    <s v="Vadodara"/>
    <s v="Italian"/>
    <s v="Rahul"/>
    <n v="680"/>
    <x v="13"/>
    <m/>
    <m/>
    <m/>
  </r>
  <r>
    <s v="O032"/>
    <x v="31"/>
    <s v="Chinese Wok"/>
    <s v="Surat"/>
    <s v="Chinese"/>
    <s v="Amit"/>
    <n v="490"/>
    <x v="13"/>
    <m/>
    <m/>
    <m/>
  </r>
  <r>
    <s v="O033"/>
    <x v="32"/>
    <s v="Spice Villa"/>
    <s v="Ahmedabad"/>
    <s v="Indian"/>
    <s v="Neha"/>
    <n v="580"/>
    <x v="13"/>
    <m/>
    <m/>
    <m/>
  </r>
  <r>
    <s v="O034"/>
    <x v="33"/>
    <s v="Burger Point"/>
    <s v="Rajkot"/>
    <s v="Fast Food"/>
    <s v="Jay"/>
    <n v="520"/>
    <x v="13"/>
    <m/>
    <m/>
    <m/>
  </r>
  <r>
    <s v="O035"/>
    <x v="34"/>
    <s v="South Spice"/>
    <s v="Vadodara"/>
    <s v="South Indian"/>
    <s v="Priya"/>
    <n v="340"/>
    <x v="13"/>
    <m/>
    <m/>
    <m/>
  </r>
  <r>
    <s v="O036"/>
    <x v="35"/>
    <s v="Tandoori House"/>
    <s v="Ahmedabad"/>
    <s v="Indian"/>
    <s v="Rahul"/>
    <n v="870"/>
    <x v="13"/>
    <m/>
    <m/>
    <m/>
  </r>
  <r>
    <s v="O037"/>
    <x v="36"/>
    <s v="Pasta House"/>
    <s v="Surat"/>
    <s v="Italian"/>
    <s v="Amit"/>
    <n v="740"/>
    <x v="13"/>
    <m/>
    <m/>
    <m/>
  </r>
  <r>
    <s v="O038"/>
    <x v="37"/>
    <s v="Dosa Corner"/>
    <s v="Rajkot"/>
    <s v="South Indian"/>
    <s v="Neha"/>
    <n v="280"/>
    <x v="13"/>
    <m/>
    <m/>
    <m/>
  </r>
  <r>
    <s v="O039"/>
    <x v="38"/>
    <s v="Urban Tadka"/>
    <s v="Vadodara"/>
    <s v="Indian"/>
    <s v="Jay"/>
    <n v="610"/>
    <x v="13"/>
    <m/>
    <m/>
    <m/>
  </r>
  <r>
    <s v="O040"/>
    <x v="39"/>
    <s v="Grill Nation"/>
    <s v="Ahmedabad"/>
    <s v="Fast Food"/>
    <s v="Priya"/>
    <n v="550"/>
    <x v="13"/>
    <m/>
    <m/>
    <m/>
  </r>
  <r>
    <s v="O041"/>
    <x v="40"/>
    <s v="Pizza Hub"/>
    <s v="Surat"/>
    <s v="Italian"/>
    <s v="Rahul"/>
    <n v="790"/>
    <x v="13"/>
    <m/>
    <m/>
    <m/>
  </r>
  <r>
    <s v="O042"/>
    <x v="41"/>
    <s v="Chinese Wok"/>
    <s v="Rajkot"/>
    <s v="Chinese"/>
    <s v="Amit"/>
    <n v="450"/>
    <x v="13"/>
    <m/>
    <m/>
    <m/>
  </r>
  <r>
    <s v="O043"/>
    <x v="42"/>
    <s v="Spice Villa"/>
    <s v="Ahmedabad"/>
    <s v="Indian"/>
    <s v="Neha"/>
    <n v="620"/>
    <x v="13"/>
    <m/>
    <m/>
    <m/>
  </r>
  <r>
    <s v="O044"/>
    <x v="43"/>
    <s v="Green Leaf"/>
    <s v="Vadodara"/>
    <s v="Healthy"/>
    <s v="Jay"/>
    <n v="390"/>
    <x v="13"/>
    <m/>
    <m/>
    <m/>
  </r>
  <r>
    <s v="O045"/>
    <x v="44"/>
    <s v="Royal Biryani"/>
    <s v="Surat"/>
    <s v="Indian"/>
    <s v="Priya"/>
    <n v="840"/>
    <x v="13"/>
    <m/>
    <m/>
    <m/>
  </r>
  <r>
    <s v="O046"/>
    <x v="45"/>
    <s v="Pasta House"/>
    <s v="Ahmedabad"/>
    <s v="Italian"/>
    <s v="Rahul"/>
    <n v="720"/>
    <x v="13"/>
    <m/>
    <m/>
    <m/>
  </r>
  <r>
    <s v="O047"/>
    <x v="46"/>
    <s v="Dosa Corner"/>
    <s v="Rajkot"/>
    <s v="South Indian"/>
    <s v="Amit"/>
    <n v="320"/>
    <x v="13"/>
    <m/>
    <m/>
    <m/>
  </r>
  <r>
    <s v="O048"/>
    <x v="47"/>
    <s v="Burger Point"/>
    <s v="Vadodara"/>
    <s v="Fast Food"/>
    <s v="Neha"/>
    <n v="580"/>
    <x v="13"/>
    <m/>
    <m/>
    <m/>
  </r>
  <r>
    <s v="O049"/>
    <x v="48"/>
    <s v="Mumbai Masala"/>
    <s v="Surat"/>
    <s v="Indian"/>
    <s v="Jay"/>
    <n v="670"/>
    <x v="13"/>
    <m/>
    <m/>
    <m/>
  </r>
  <r>
    <s v="O050"/>
    <x v="49"/>
    <s v="Pizza Hub"/>
    <s v="Ahmedabad"/>
    <s v="Italian"/>
    <s v="Priya"/>
    <n v="810"/>
    <x v="13"/>
    <m/>
    <m/>
    <m/>
  </r>
  <r>
    <s v="O051"/>
    <x v="50"/>
    <s v="Spice Villa"/>
    <s v="Ahmedabad"/>
    <s v="Indian"/>
    <s v="Rahul"/>
    <n v="490"/>
    <x v="13"/>
    <m/>
    <m/>
    <m/>
  </r>
  <r>
    <s v="O052"/>
    <x v="51"/>
    <s v="Pizza Hub"/>
    <s v="Surat"/>
    <s v="Italian"/>
    <s v="Amit"/>
    <n v="650"/>
    <x v="13"/>
    <m/>
    <m/>
    <m/>
  </r>
  <r>
    <s v="O053"/>
    <x v="52"/>
    <s v="Chinese Wok"/>
    <s v="Rajkot"/>
    <s v="Chinese"/>
    <s v="Neha"/>
    <n v="440"/>
    <x v="13"/>
    <m/>
    <m/>
    <m/>
  </r>
  <r>
    <s v="O054"/>
    <x v="53"/>
    <s v="Burger Point"/>
    <s v="Ahmedabad"/>
    <s v="Fast Food"/>
    <s v="Jay"/>
    <n v="560"/>
    <x v="13"/>
    <m/>
    <m/>
    <m/>
  </r>
  <r>
    <s v="O055"/>
    <x v="54"/>
    <s v="South Spice"/>
    <s v="Vadodara"/>
    <s v="South Indian"/>
    <s v="Priya"/>
    <n v="350"/>
    <x v="13"/>
    <m/>
    <m/>
    <m/>
  </r>
  <r>
    <s v="O056"/>
    <x v="55"/>
    <s v="Tandoori House"/>
    <s v="Surat"/>
    <s v="Indian"/>
    <s v="Rahul"/>
    <n v="760"/>
    <x v="13"/>
    <m/>
    <m/>
    <m/>
  </r>
  <r>
    <s v="O057"/>
    <x v="56"/>
    <s v="Pasta House"/>
    <s v="Ahmedabad"/>
    <s v="Italian"/>
    <s v="Amit"/>
    <n v="710"/>
    <x v="13"/>
    <m/>
    <m/>
    <m/>
  </r>
  <r>
    <s v="O058"/>
    <x v="57"/>
    <s v="Dosa Corner"/>
    <s v="Rajkot"/>
    <s v="South Indian"/>
    <s v="Neha"/>
    <n v="300"/>
    <x v="13"/>
    <m/>
    <m/>
    <m/>
  </r>
  <r>
    <s v="O059"/>
    <x v="58"/>
    <s v="Urban Tadka"/>
    <s v="Vadodara"/>
    <s v="Indian"/>
    <s v="Jay"/>
    <n v="590"/>
    <x v="13"/>
    <m/>
    <m/>
    <m/>
  </r>
  <r>
    <s v="O060"/>
    <x v="59"/>
    <s v="Grill Nation"/>
    <s v="Ahmedabad"/>
    <s v="Fast Food"/>
    <s v="Priya"/>
    <n v="610"/>
    <x v="13"/>
    <m/>
    <m/>
    <m/>
  </r>
  <r>
    <s v="O061"/>
    <x v="60"/>
    <s v="Pizza Hub"/>
    <s v="Surat"/>
    <s v="Italian"/>
    <s v="Rahul"/>
    <n v="730"/>
    <x v="13"/>
    <m/>
    <m/>
    <m/>
  </r>
  <r>
    <s v="O062"/>
    <x v="61"/>
    <s v="Chinese Wok"/>
    <s v="Rajkot"/>
    <s v="Chinese"/>
    <s v="Amit"/>
    <n v="420"/>
    <x v="13"/>
    <m/>
    <m/>
    <m/>
  </r>
  <r>
    <s v="O063"/>
    <x v="62"/>
    <s v="Spice Villa"/>
    <s v="Ahmedabad"/>
    <s v="Indian"/>
    <s v="Neha"/>
    <n v="600"/>
    <x v="13"/>
    <m/>
    <m/>
    <m/>
  </r>
  <r>
    <s v="O064"/>
    <x v="63"/>
    <s v="Green Leaf"/>
    <s v="Vadodara"/>
    <s v="Healthy"/>
    <s v="Jay"/>
    <n v="370"/>
    <x v="13"/>
    <m/>
    <m/>
    <m/>
  </r>
  <r>
    <s v="O065"/>
    <x v="64"/>
    <s v="Royal Biryani"/>
    <s v="Surat"/>
    <s v="Indian"/>
    <s v="Priya"/>
    <n v="820"/>
    <x v="13"/>
    <m/>
    <m/>
    <m/>
  </r>
  <r>
    <s v="O066"/>
    <x v="65"/>
    <s v="Pasta House"/>
    <s v="Ahmedabad"/>
    <s v="Italian"/>
    <s v="Rahul"/>
    <n v="780"/>
    <x v="13"/>
    <m/>
    <m/>
    <m/>
  </r>
  <r>
    <s v="O067"/>
    <x v="66"/>
    <s v="Dosa Corner"/>
    <s v="Rajkot"/>
    <s v="South Indian"/>
    <s v="Amit"/>
    <n v="290"/>
    <x v="13"/>
    <m/>
    <m/>
    <m/>
  </r>
  <r>
    <s v="O068"/>
    <x v="67"/>
    <s v="Burger Point"/>
    <s v="Vadodara"/>
    <s v="Fast Food"/>
    <s v="Neha"/>
    <n v="540"/>
    <x v="13"/>
    <m/>
    <m/>
    <m/>
  </r>
  <r>
    <s v="O069"/>
    <x v="68"/>
    <s v="Mumbai Masala"/>
    <s v="Surat"/>
    <s v="Indian"/>
    <s v="Jay"/>
    <n v="690"/>
    <x v="13"/>
    <m/>
    <m/>
    <m/>
  </r>
  <r>
    <s v="O070"/>
    <x v="69"/>
    <s v="Pizza Hub"/>
    <s v="Ahmedabad"/>
    <s v="Italian"/>
    <s v="Priya"/>
    <n v="850"/>
    <x v="13"/>
    <m/>
    <m/>
    <m/>
  </r>
  <r>
    <s v="O071"/>
    <x v="70"/>
    <s v="Spice Villa"/>
    <s v="Ahmedabad"/>
    <s v="Indian"/>
    <s v="Rahul"/>
    <n v="530"/>
    <x v="13"/>
    <m/>
    <m/>
    <m/>
  </r>
  <r>
    <s v="O072"/>
    <x v="71"/>
    <s v="Pizza Hub"/>
    <s v="Surat"/>
    <s v="Italian"/>
    <s v="Amit"/>
    <n v="680"/>
    <x v="13"/>
    <m/>
    <m/>
    <m/>
  </r>
  <r>
    <s v="O073"/>
    <x v="72"/>
    <s v="Chinese Wok"/>
    <s v="Rajkot"/>
    <s v="Chinese"/>
    <s v="Neha"/>
    <n v="470"/>
    <x v="13"/>
    <m/>
    <m/>
    <m/>
  </r>
  <r>
    <s v="O074"/>
    <x v="73"/>
    <s v="Burger Point"/>
    <s v="Ahmedabad"/>
    <s v="Fast Food"/>
    <s v="Jay"/>
    <n v="590"/>
    <x v="13"/>
    <m/>
    <m/>
    <m/>
  </r>
  <r>
    <s v="O075"/>
    <x v="74"/>
    <s v="South Spice"/>
    <s v="Vadodara"/>
    <s v="South Indian"/>
    <s v="Priya"/>
    <n v="360"/>
    <x v="13"/>
    <m/>
    <m/>
    <m/>
  </r>
  <r>
    <s v="O076"/>
    <x v="75"/>
    <s v="Tandoori House"/>
    <s v="Surat"/>
    <s v="Indian"/>
    <s v="Rahul"/>
    <n v="800"/>
    <x v="13"/>
    <m/>
    <m/>
    <m/>
  </r>
  <r>
    <s v="O077"/>
    <x v="76"/>
    <s v="Pasta House"/>
    <s v="Ahmedabad"/>
    <s v="Italian"/>
    <s v="Amit"/>
    <n v="760"/>
    <x v="13"/>
    <m/>
    <m/>
    <m/>
  </r>
  <r>
    <s v="O078"/>
    <x v="77"/>
    <s v="Dosa Corner"/>
    <s v="Rajkot"/>
    <s v="South Indian"/>
    <s v="Neha"/>
    <n v="330"/>
    <x v="13"/>
    <m/>
    <m/>
    <m/>
  </r>
  <r>
    <s v="O079"/>
    <x v="78"/>
    <s v="Urban Tadka"/>
    <s v="Vadodara"/>
    <s v="Indian"/>
    <s v="Jay"/>
    <n v="620"/>
    <x v="13"/>
    <m/>
    <m/>
    <m/>
  </r>
  <r>
    <s v="O080"/>
    <x v="79"/>
    <s v="Grill Nation"/>
    <s v="Ahmedabad"/>
    <s v="Fast Food"/>
    <s v="Priya"/>
    <n v="640"/>
    <x v="13"/>
    <m/>
    <m/>
    <m/>
  </r>
  <r>
    <s v="O081"/>
    <x v="80"/>
    <s v="Pizza Hub"/>
    <s v="Surat"/>
    <s v="Italian"/>
    <s v="Rahul"/>
    <n v="760"/>
    <x v="13"/>
    <m/>
    <m/>
    <m/>
  </r>
  <r>
    <s v="O082"/>
    <x v="81"/>
    <s v="Chinese Wok"/>
    <s v="Rajkot"/>
    <s v="Chinese"/>
    <s v="Amit"/>
    <n v="460"/>
    <x v="13"/>
    <m/>
    <m/>
    <m/>
  </r>
  <r>
    <s v="O083"/>
    <x v="82"/>
    <s v="Spice Villa"/>
    <s v="Ahmedabad"/>
    <s v="Indian"/>
    <s v="Neha"/>
    <n v="640"/>
    <x v="13"/>
    <m/>
    <m/>
    <m/>
  </r>
  <r>
    <s v="O084"/>
    <x v="83"/>
    <s v="Green Leaf"/>
    <s v="Vadodara"/>
    <s v="Healthy"/>
    <s v="Jay"/>
    <n v="410"/>
    <x v="13"/>
    <m/>
    <m/>
    <m/>
  </r>
  <r>
    <s v="O085"/>
    <x v="84"/>
    <s v="Royal Biryani"/>
    <s v="Surat"/>
    <s v="Indian"/>
    <s v="Priya"/>
    <n v="880"/>
    <x v="13"/>
    <m/>
    <m/>
    <m/>
  </r>
  <r>
    <s v="O086"/>
    <x v="85"/>
    <s v="Pasta House"/>
    <s v="Ahmedabad"/>
    <s v="Italian"/>
    <s v="Rahul"/>
    <n v="800"/>
    <x v="13"/>
    <m/>
    <m/>
    <m/>
  </r>
  <r>
    <s v="O087"/>
    <x v="86"/>
    <s v="Dosa Corner"/>
    <s v="Rajkot"/>
    <s v="South Indian"/>
    <s v="Amit"/>
    <n v="340"/>
    <x v="13"/>
    <m/>
    <m/>
    <m/>
  </r>
  <r>
    <s v="O088"/>
    <x v="87"/>
    <s v="Burger Point"/>
    <s v="Vadodara"/>
    <s v="Fast Food"/>
    <s v="Neha"/>
    <n v="600"/>
    <x v="13"/>
    <m/>
    <m/>
    <m/>
  </r>
  <r>
    <s v="O089"/>
    <x v="88"/>
    <s v="Mumbai Masala"/>
    <s v="Surat"/>
    <s v="Indian"/>
    <s v="Jay"/>
    <n v="710"/>
    <x v="13"/>
    <m/>
    <m/>
    <m/>
  </r>
  <r>
    <s v="O090"/>
    <x v="89"/>
    <s v="Pizza Hub"/>
    <s v="Ahmedabad"/>
    <s v="Italian"/>
    <s v="Priya"/>
    <n v="860"/>
    <x v="13"/>
    <m/>
    <m/>
    <m/>
  </r>
  <r>
    <s v="O091"/>
    <x v="90"/>
    <s v="Spice Villa"/>
    <s v="Ahmedabad"/>
    <s v="Indian"/>
    <s v="Rahul"/>
    <n v="560"/>
    <x v="13"/>
    <m/>
    <m/>
    <m/>
  </r>
  <r>
    <s v="O092"/>
    <x v="91"/>
    <s v="Pizza Hub"/>
    <s v="Surat"/>
    <s v="Italian"/>
    <s v="Amit"/>
    <n v="710"/>
    <x v="13"/>
    <m/>
    <m/>
    <m/>
  </r>
  <r>
    <s v="O093"/>
    <x v="92"/>
    <s v="Chinese Wok"/>
    <s v="Rajkot"/>
    <s v="Chinese"/>
    <s v="Neha"/>
    <n v="480"/>
    <x v="13"/>
    <m/>
    <m/>
    <m/>
  </r>
  <r>
    <s v="O094"/>
    <x v="93"/>
    <s v="Burger Point"/>
    <s v="Ahmedabad"/>
    <s v="Fast Food"/>
    <s v="Jay"/>
    <n v="620"/>
    <x v="13"/>
    <m/>
    <m/>
    <m/>
  </r>
  <r>
    <s v="O095"/>
    <x v="94"/>
    <s v="South Spice"/>
    <s v="Vadodara"/>
    <s v="South Indian"/>
    <s v="Priya"/>
    <n v="380"/>
    <x v="13"/>
    <m/>
    <m/>
    <m/>
  </r>
  <r>
    <s v="O096"/>
    <x v="95"/>
    <s v="Tandoori House"/>
    <s v="Surat"/>
    <s v="Indian"/>
    <s v="Rahul"/>
    <n v="830"/>
    <x v="13"/>
    <m/>
    <m/>
    <m/>
  </r>
  <r>
    <s v="O097"/>
    <x v="96"/>
    <s v="Pasta House"/>
    <s v="Ahmedabad"/>
    <s v="Italian"/>
    <s v="Amit"/>
    <n v="790"/>
    <x v="13"/>
    <m/>
    <m/>
    <m/>
  </r>
  <r>
    <s v="O098"/>
    <x v="97"/>
    <s v="Dosa Corner"/>
    <s v="Rajkot"/>
    <s v="South Indian"/>
    <s v="Neha"/>
    <n v="350"/>
    <x v="13"/>
    <m/>
    <m/>
    <m/>
  </r>
  <r>
    <s v="O099"/>
    <x v="98"/>
    <s v="Urban Tadka"/>
    <s v="Vadodara"/>
    <s v="Indian"/>
    <s v="Jay"/>
    <n v="650"/>
    <x v="13"/>
    <m/>
    <m/>
    <m/>
  </r>
  <r>
    <s v="O100"/>
    <x v="99"/>
    <s v="Grill Nation"/>
    <s v="Ahmedabad"/>
    <s v="Fast Food"/>
    <s v="Priya"/>
    <n v="670"/>
    <x v="13"/>
    <m/>
    <m/>
    <m/>
  </r>
  <r>
    <s v="O101"/>
    <x v="100"/>
    <s v="Pizza Hub"/>
    <s v="Surat"/>
    <s v="Italian"/>
    <s v="Rahul"/>
    <n v="780"/>
    <x v="13"/>
    <m/>
    <m/>
    <m/>
  </r>
  <r>
    <s v="O102"/>
    <x v="101"/>
    <s v="Chinese Wok"/>
    <s v="Rajkot"/>
    <s v="Chinese"/>
    <s v="Amit"/>
    <n v="490"/>
    <x v="13"/>
    <m/>
    <m/>
    <m/>
  </r>
  <r>
    <s v="O103"/>
    <x v="102"/>
    <s v="Spice Villa"/>
    <s v="Ahmedabad"/>
    <s v="Indian"/>
    <s v="Neha"/>
    <n v="660"/>
    <x v="13"/>
    <m/>
    <m/>
    <m/>
  </r>
  <r>
    <s v="O104"/>
    <x v="103"/>
    <s v="Green Leaf"/>
    <s v="Vadodara"/>
    <s v="Healthy"/>
    <s v="Jay"/>
    <n v="430"/>
    <x v="13"/>
    <m/>
    <m/>
    <m/>
  </r>
  <r>
    <s v="O105"/>
    <x v="104"/>
    <s v="Royal Biryani"/>
    <s v="Surat"/>
    <s v="Indian"/>
    <s v="Priya"/>
    <n v="900"/>
    <x v="13"/>
    <m/>
    <m/>
    <m/>
  </r>
  <r>
    <s v="O106"/>
    <x v="105"/>
    <s v="Pasta House"/>
    <s v="Ahmedabad"/>
    <s v="Italian"/>
    <s v="Rahul"/>
    <n v="820"/>
    <x v="13"/>
    <m/>
    <m/>
    <m/>
  </r>
  <r>
    <s v="O107"/>
    <x v="106"/>
    <s v="Dosa Corner"/>
    <s v="Rajkot"/>
    <s v="South Indian"/>
    <s v="Amit"/>
    <n v="360"/>
    <x v="13"/>
    <m/>
    <m/>
    <m/>
  </r>
  <r>
    <s v="O108"/>
    <x v="107"/>
    <s v="Burger Point"/>
    <s v="Vadodara"/>
    <s v="Fast Food"/>
    <s v="Neha"/>
    <n v="630"/>
    <x v="13"/>
    <m/>
    <m/>
    <m/>
  </r>
  <r>
    <s v="O109"/>
    <x v="108"/>
    <s v="Mumbai Masala"/>
    <s v="Surat"/>
    <s v="Indian"/>
    <s v="Jay"/>
    <n v="730"/>
    <x v="13"/>
    <m/>
    <m/>
    <m/>
  </r>
  <r>
    <s v="O110"/>
    <x v="109"/>
    <s v="Pizza Hub"/>
    <s v="Ahmedabad"/>
    <s v="Italian"/>
    <s v="Priya"/>
    <n v="880"/>
    <x v="13"/>
    <m/>
    <m/>
    <m/>
  </r>
  <r>
    <s v="O111"/>
    <x v="110"/>
    <s v="Spice Villa"/>
    <s v="Ahmedabad"/>
    <s v="Indian"/>
    <s v="Rahul"/>
    <n v="590"/>
    <x v="13"/>
    <m/>
    <m/>
    <m/>
  </r>
  <r>
    <s v="O112"/>
    <x v="111"/>
    <s v="Pizza Hub"/>
    <s v="Surat"/>
    <s v="Italian"/>
    <s v="Amit"/>
    <n v="740"/>
    <x v="13"/>
    <m/>
    <m/>
    <m/>
  </r>
  <r>
    <s v="O113"/>
    <x v="112"/>
    <s v="Chinese Wok"/>
    <s v="Rajkot"/>
    <s v="Chinese"/>
    <s v="Neha"/>
    <n v="510"/>
    <x v="13"/>
    <m/>
    <m/>
    <m/>
  </r>
  <r>
    <s v="O114"/>
    <x v="113"/>
    <s v="Burger Point"/>
    <s v="Ahmedabad"/>
    <s v="Fast Food"/>
    <s v="Jay"/>
    <n v="650"/>
    <x v="13"/>
    <m/>
    <m/>
    <m/>
  </r>
  <r>
    <s v="O115"/>
    <x v="114"/>
    <s v="South Spice"/>
    <s v="Vadodara"/>
    <s v="South Indian"/>
    <s v="Priya"/>
    <n v="390"/>
    <x v="13"/>
    <m/>
    <m/>
    <m/>
  </r>
  <r>
    <s v="O116"/>
    <x v="115"/>
    <s v="Tandoori House"/>
    <s v="Surat"/>
    <s v="Indian"/>
    <s v="Rahul"/>
    <n v="850"/>
    <x v="13"/>
    <m/>
    <m/>
    <m/>
  </r>
  <r>
    <s v="O117"/>
    <x v="116"/>
    <s v="Pasta House"/>
    <s v="Ahmedabad"/>
    <s v="Italian"/>
    <s v="Amit"/>
    <n v="830"/>
    <x v="13"/>
    <m/>
    <m/>
    <m/>
  </r>
  <r>
    <s v="O118"/>
    <x v="117"/>
    <s v="Dosa Corner"/>
    <s v="Rajkot"/>
    <s v="South Indian"/>
    <s v="Neha"/>
    <n v="370"/>
    <x v="13"/>
    <m/>
    <m/>
    <m/>
  </r>
  <r>
    <s v="O119"/>
    <x v="118"/>
    <s v="Urban Tadka"/>
    <s v="Vadodara"/>
    <s v="Indian"/>
    <s v="Jay"/>
    <n v="680"/>
    <x v="13"/>
    <m/>
    <m/>
    <m/>
  </r>
  <r>
    <s v="O120"/>
    <x v="119"/>
    <s v="Grill Nation"/>
    <s v="Ahmedabad"/>
    <s v="Fast Food"/>
    <s v="Priya"/>
    <n v="700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C1B5B-196B-44C1-AC8D-10028FDCD177}" name="PivotTable1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10" firstHeaderRow="1" firstDataRow="1" firstDataCol="1"/>
  <pivotFields count="8">
    <pivotField dataField="1" showAll="0"/>
    <pivotField numFmtId="15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showAll="0"/>
    <pivotField axis="axisRow" showAll="0" sortType="descending">
      <items count="7">
        <item x="2"/>
        <item x="3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 v="3"/>
    </i>
    <i>
      <x v="4"/>
    </i>
    <i>
      <x v="5"/>
    </i>
    <i>
      <x v="1"/>
    </i>
    <i>
      <x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37E2B-B530-468E-A0F1-480D8B1487C4}" name="PivotTable3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18" firstHeaderRow="1" firstDataRow="1" firstDataCol="1"/>
  <pivotFields count="12"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Chang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14071-FBC4-4147-97C6-FA711077BA33}" name="PivotTable6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6" firstHeaderRow="1" firstDataRow="1" firstDataCol="1"/>
  <pivotFields count="8">
    <pivotField showAll="0"/>
    <pivotField axis="axisRow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Order Amoun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C3388-0E76-4813-936E-96214B6E3C70}" name="Table1" displayName="Table1" ref="A1:G121" totalsRowShown="0" headerRowDxfId="16" dataDxfId="14" headerRowBorderDxfId="15" tableBorderDxfId="13" totalsRowBorderDxfId="12">
  <autoFilter ref="A1:G121" xr:uid="{440C3388-0E76-4813-936E-96214B6E3C70}"/>
  <tableColumns count="7">
    <tableColumn id="1" xr3:uid="{35C21BE1-2AA2-4665-B926-4D77488FC6DD}" name="Order ID" dataDxfId="11"/>
    <tableColumn id="2" xr3:uid="{327CE3BB-25A5-4484-8D13-4F8F0CC37146}" name="Order Date" dataDxfId="10"/>
    <tableColumn id="3" xr3:uid="{482FB70E-BBF5-461C-B42A-BB33E79B1D46}" name="Restaurant" dataDxfId="9"/>
    <tableColumn id="4" xr3:uid="{DCB454B0-EAD7-4997-A3C2-C668EC513381}" name="City" dataDxfId="8"/>
    <tableColumn id="5" xr3:uid="{FEB52E57-B403-4E35-B9C6-83DCAF8C2CEA}" name="Cuisine" dataDxfId="7"/>
    <tableColumn id="6" xr3:uid="{ECABB05B-439E-4722-8353-C078A544F6D4}" name="Customer" dataDxfId="6"/>
    <tableColumn id="7" xr3:uid="{B94FDF14-B8C1-4B0D-A76F-489DF591922E}" name="Order Amoun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9494C-6A4A-4D3D-9EEF-59A733FEA65A}" name="Table2" displayName="Table2" ref="H1:K14" totalsRowShown="0" dataDxfId="4">
  <autoFilter ref="H1:K14" xr:uid="{D2C9494C-6A4A-4D3D-9EEF-59A733FEA65A}"/>
  <tableColumns count="4">
    <tableColumn id="1" xr3:uid="{D341F5F6-742A-4BA9-9E17-B3A862EBB2C3}" name="Months" dataDxfId="3"/>
    <tableColumn id="3" xr3:uid="{03812DA6-0D0F-4D1F-A103-B8C64E69E187}" name="No. of Month" dataDxfId="2"/>
    <tableColumn id="2" xr3:uid="{95FE3930-2DE8-4F70-8A61-64C938947C14}" name="Total Revenue" dataDxfId="1">
      <calculatedColumnFormula>SUMIFS(Table1[Order Amount],Table1[Order Date],"&gt;="&amp;DATE(2026,Table2[[#This Row],[No. of Month]],1),Table1[Order Date],"&lt;"&amp;DATE(2026,I3,1))</calculatedColumnFormula>
    </tableColumn>
    <tableColumn id="4" xr3:uid="{A964A962-224F-4CF3-B113-EE8084D19C9F}" name="Changes" dataDxfId="0">
      <calculatedColumnFormula>Table2[[#This Row],[Total Revenue]]-K1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2F88-2D66-4736-8D54-C0B15D10FFC3}">
  <dimension ref="A1:K121"/>
  <sheetViews>
    <sheetView topLeftCell="A93" workbookViewId="0">
      <selection activeCell="G7" sqref="G7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8.109375" customWidth="1"/>
    <col min="4" max="4" width="14.33203125" customWidth="1"/>
    <col min="5" max="5" width="15.109375" customWidth="1"/>
    <col min="6" max="6" width="19" bestFit="1" customWidth="1"/>
    <col min="7" max="7" width="17.6640625" bestFit="1" customWidth="1"/>
    <col min="8" max="8" width="13.88671875" customWidth="1"/>
    <col min="9" max="9" width="16.88671875" bestFit="1" customWidth="1"/>
    <col min="10" max="10" width="15.6640625" customWidth="1"/>
    <col min="11" max="11" width="8.88671875" style="19"/>
  </cols>
  <sheetData>
    <row r="1" spans="1:1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89</v>
      </c>
      <c r="G1" s="14" t="s">
        <v>5</v>
      </c>
      <c r="H1" s="19" t="s">
        <v>170</v>
      </c>
      <c r="I1" s="19" t="s">
        <v>172</v>
      </c>
      <c r="J1" t="s">
        <v>171</v>
      </c>
      <c r="K1" s="19" t="s">
        <v>173</v>
      </c>
    </row>
    <row r="2" spans="1:11" x14ac:dyDescent="0.3">
      <c r="A2" s="3" t="s">
        <v>6</v>
      </c>
      <c r="B2" s="2">
        <v>46027</v>
      </c>
      <c r="C2" s="1" t="s">
        <v>7</v>
      </c>
      <c r="D2" s="1" t="s">
        <v>8</v>
      </c>
      <c r="E2" s="1" t="s">
        <v>9</v>
      </c>
      <c r="F2" s="1" t="s">
        <v>10</v>
      </c>
      <c r="G2" s="4">
        <v>450</v>
      </c>
      <c r="H2" s="20" t="s">
        <v>87</v>
      </c>
      <c r="I2" s="20">
        <v>1</v>
      </c>
      <c r="J2" s="20">
        <f>SUMIFS(Table1[Order Amount],Table1[Order Date],"&gt;="&amp;DATE(2026,Table2[[#This Row],[No. of Month]],1),Table1[Order Date],"&lt;"&amp;DATE(2026,I3,1))</f>
        <v>5020</v>
      </c>
      <c r="K2" s="20">
        <f>Table2[[#This Row],[Total Revenue]]-0</f>
        <v>5020</v>
      </c>
    </row>
    <row r="3" spans="1:11" x14ac:dyDescent="0.3">
      <c r="A3" s="3" t="s">
        <v>11</v>
      </c>
      <c r="B3" s="2">
        <v>46030</v>
      </c>
      <c r="C3" s="1" t="s">
        <v>12</v>
      </c>
      <c r="D3" s="1" t="s">
        <v>13</v>
      </c>
      <c r="E3" s="1" t="s">
        <v>14</v>
      </c>
      <c r="F3" s="1" t="s">
        <v>15</v>
      </c>
      <c r="G3" s="4">
        <v>620</v>
      </c>
      <c r="H3" s="20" t="s">
        <v>88</v>
      </c>
      <c r="I3" s="20">
        <v>2</v>
      </c>
      <c r="J3" s="20">
        <f>SUMIFS(Table1[Order Amount],Table1[Order Date],"&gt;="&amp;DATE(2026,Table2[[#This Row],[No. of Month]],1),Table1[Order Date],"&lt;"&amp;DATE(2026,I4,1))</f>
        <v>5810</v>
      </c>
      <c r="K3" s="20">
        <f>Table2[[#This Row],[Total Revenue]]-J2</f>
        <v>790</v>
      </c>
    </row>
    <row r="4" spans="1:11" x14ac:dyDescent="0.3">
      <c r="A4" s="3" t="s">
        <v>16</v>
      </c>
      <c r="B4" s="2">
        <v>46032</v>
      </c>
      <c r="C4" s="1" t="s">
        <v>17</v>
      </c>
      <c r="D4" s="1" t="s">
        <v>18</v>
      </c>
      <c r="E4" s="1" t="s">
        <v>19</v>
      </c>
      <c r="F4" s="1" t="s">
        <v>20</v>
      </c>
      <c r="G4" s="4">
        <v>380</v>
      </c>
      <c r="H4" s="20" t="s">
        <v>160</v>
      </c>
      <c r="I4" s="20">
        <v>3</v>
      </c>
      <c r="J4" s="20">
        <f>SUMIFS(Table1[Order Amount],Table1[Order Date],"&gt;="&amp;DATE(2026,Table2[[#This Row],[No. of Month]],1),Table1[Order Date],"&lt;"&amp;DATE(2026,I5,1))</f>
        <v>5280</v>
      </c>
      <c r="K4" s="20">
        <f>Table2[[#This Row],[Total Revenue]]-J3</f>
        <v>-530</v>
      </c>
    </row>
    <row r="5" spans="1:11" x14ac:dyDescent="0.3">
      <c r="A5" s="3" t="s">
        <v>21</v>
      </c>
      <c r="B5" s="2">
        <v>46034</v>
      </c>
      <c r="C5" s="1" t="s">
        <v>22</v>
      </c>
      <c r="D5" s="1" t="s">
        <v>8</v>
      </c>
      <c r="E5" s="1" t="s">
        <v>23</v>
      </c>
      <c r="F5" s="1" t="s">
        <v>24</v>
      </c>
      <c r="G5" s="4">
        <v>520</v>
      </c>
      <c r="H5" s="20" t="s">
        <v>161</v>
      </c>
      <c r="I5" s="20">
        <v>4</v>
      </c>
      <c r="J5" s="20">
        <f>SUMIFS(Table1[Order Amount],Table1[Order Date],"&gt;="&amp;DATE(2026,Table2[[#This Row],[No. of Month]],1),Table1[Order Date],"&lt;"&amp;DATE(2026,I6,1))</f>
        <v>5660</v>
      </c>
      <c r="K5" s="20">
        <f>Table2[[#This Row],[Total Revenue]]-J4</f>
        <v>380</v>
      </c>
    </row>
    <row r="6" spans="1:11" x14ac:dyDescent="0.3">
      <c r="A6" s="3" t="s">
        <v>25</v>
      </c>
      <c r="B6" s="2">
        <v>46037</v>
      </c>
      <c r="C6" s="1" t="s">
        <v>26</v>
      </c>
      <c r="D6" s="1" t="s">
        <v>27</v>
      </c>
      <c r="E6" s="1" t="s">
        <v>28</v>
      </c>
      <c r="F6" s="1" t="s">
        <v>29</v>
      </c>
      <c r="G6" s="4">
        <v>310</v>
      </c>
      <c r="H6" s="20" t="s">
        <v>162</v>
      </c>
      <c r="I6" s="20">
        <v>5</v>
      </c>
      <c r="J6" s="20">
        <f>SUMIFS(Table1[Order Amount],Table1[Order Date],"&gt;="&amp;DATE(2026,Table2[[#This Row],[No. of Month]],1),Table1[Order Date],"&lt;"&amp;DATE(2026,I7,1))</f>
        <v>6190</v>
      </c>
      <c r="K6" s="20">
        <f>Table2[[#This Row],[Total Revenue]]-J5</f>
        <v>530</v>
      </c>
    </row>
    <row r="7" spans="1:11" x14ac:dyDescent="0.3">
      <c r="A7" s="3" t="s">
        <v>30</v>
      </c>
      <c r="B7" s="2">
        <v>46040</v>
      </c>
      <c r="C7" s="1" t="s">
        <v>31</v>
      </c>
      <c r="D7" s="1" t="s">
        <v>13</v>
      </c>
      <c r="E7" s="1" t="s">
        <v>9</v>
      </c>
      <c r="F7" s="1" t="s">
        <v>10</v>
      </c>
      <c r="G7" s="4">
        <v>780</v>
      </c>
      <c r="H7" s="20" t="s">
        <v>163</v>
      </c>
      <c r="I7" s="20">
        <v>6</v>
      </c>
      <c r="J7" s="20">
        <f>SUMIFS(Table1[Order Amount],Table1[Order Date],"&gt;="&amp;DATE(2026,Table2[[#This Row],[No. of Month]],1),Table1[Order Date],"&lt;"&amp;DATE(2026,I8,1))</f>
        <v>5460</v>
      </c>
      <c r="K7" s="20">
        <f>Table2[[#This Row],[Total Revenue]]-J6</f>
        <v>-730</v>
      </c>
    </row>
    <row r="8" spans="1:11" x14ac:dyDescent="0.3">
      <c r="A8" s="3" t="s">
        <v>32</v>
      </c>
      <c r="B8" s="2">
        <v>46043</v>
      </c>
      <c r="C8" s="1" t="s">
        <v>33</v>
      </c>
      <c r="D8" s="1" t="s">
        <v>8</v>
      </c>
      <c r="E8" s="1" t="s">
        <v>14</v>
      </c>
      <c r="F8" s="1" t="s">
        <v>15</v>
      </c>
      <c r="G8" s="4">
        <v>650</v>
      </c>
      <c r="H8" s="20" t="s">
        <v>164</v>
      </c>
      <c r="I8" s="20">
        <v>7</v>
      </c>
      <c r="J8" s="20">
        <f>SUMIFS(Table1[Order Amount],Table1[Order Date],"&gt;="&amp;DATE(2026,Table2[[#This Row],[No. of Month]],1),Table1[Order Date],"&lt;"&amp;DATE(2026,I9,1))</f>
        <v>6090</v>
      </c>
      <c r="K8" s="20">
        <f>Table2[[#This Row],[Total Revenue]]-J7</f>
        <v>630</v>
      </c>
    </row>
    <row r="9" spans="1:11" x14ac:dyDescent="0.3">
      <c r="A9" s="3" t="s">
        <v>34</v>
      </c>
      <c r="B9" s="2">
        <v>46046</v>
      </c>
      <c r="C9" s="1" t="s">
        <v>35</v>
      </c>
      <c r="D9" s="1" t="s">
        <v>18</v>
      </c>
      <c r="E9" s="1" t="s">
        <v>28</v>
      </c>
      <c r="F9" s="1" t="s">
        <v>20</v>
      </c>
      <c r="G9" s="4">
        <v>290</v>
      </c>
      <c r="H9" s="20" t="s">
        <v>165</v>
      </c>
      <c r="I9" s="20">
        <v>8</v>
      </c>
      <c r="J9" s="20">
        <f>SUMIFS(Table1[Order Amount],Table1[Order Date],"&gt;="&amp;DATE(2026,Table2[[#This Row],[No. of Month]],1),Table1[Order Date],"&lt;"&amp;DATE(2026,I10,1))</f>
        <v>5780</v>
      </c>
      <c r="K9" s="20">
        <f>Table2[[#This Row],[Total Revenue]]-J8</f>
        <v>-310</v>
      </c>
    </row>
    <row r="10" spans="1:11" x14ac:dyDescent="0.3">
      <c r="A10" s="3" t="s">
        <v>36</v>
      </c>
      <c r="B10" s="2">
        <v>46049</v>
      </c>
      <c r="C10" s="1" t="s">
        <v>37</v>
      </c>
      <c r="D10" s="1" t="s">
        <v>27</v>
      </c>
      <c r="E10" s="1" t="s">
        <v>9</v>
      </c>
      <c r="F10" s="1" t="s">
        <v>24</v>
      </c>
      <c r="G10" s="4">
        <v>540</v>
      </c>
      <c r="H10" s="20" t="s">
        <v>166</v>
      </c>
      <c r="I10" s="20">
        <v>9</v>
      </c>
      <c r="J10" s="20">
        <f>SUMIFS(Table1[Order Amount],Table1[Order Date],"&gt;="&amp;DATE(2026,Table2[[#This Row],[No. of Month]],1),Table1[Order Date],"&lt;"&amp;DATE(2026,I11,1))</f>
        <v>6460</v>
      </c>
      <c r="K10" s="20">
        <f>Table2[[#This Row],[Total Revenue]]-J9</f>
        <v>680</v>
      </c>
    </row>
    <row r="11" spans="1:11" x14ac:dyDescent="0.3">
      <c r="A11" s="3" t="s">
        <v>38</v>
      </c>
      <c r="B11" s="2">
        <v>46052</v>
      </c>
      <c r="C11" s="1" t="s">
        <v>22</v>
      </c>
      <c r="D11" s="1" t="s">
        <v>8</v>
      </c>
      <c r="E11" s="1" t="s">
        <v>23</v>
      </c>
      <c r="F11" s="1" t="s">
        <v>29</v>
      </c>
      <c r="G11" s="4">
        <v>480</v>
      </c>
      <c r="H11" s="20" t="s">
        <v>167</v>
      </c>
      <c r="I11" s="20">
        <v>10</v>
      </c>
      <c r="J11" s="20">
        <f>SUMIFS(Table1[Order Amount],Table1[Order Date],"&gt;="&amp;DATE(2026,Table2[[#This Row],[No. of Month]],1),Table1[Order Date],"&lt;"&amp;DATE(2026,I12,1))</f>
        <v>6040</v>
      </c>
      <c r="K11" s="20">
        <f>Table2[[#This Row],[Total Revenue]]-J10</f>
        <v>-420</v>
      </c>
    </row>
    <row r="12" spans="1:11" x14ac:dyDescent="0.3">
      <c r="A12" s="3" t="s">
        <v>39</v>
      </c>
      <c r="B12" s="2">
        <v>46056</v>
      </c>
      <c r="C12" s="1" t="s">
        <v>12</v>
      </c>
      <c r="D12" s="1" t="s">
        <v>13</v>
      </c>
      <c r="E12" s="1" t="s">
        <v>14</v>
      </c>
      <c r="F12" s="1" t="s">
        <v>10</v>
      </c>
      <c r="G12" s="4">
        <v>720</v>
      </c>
      <c r="H12" s="20" t="s">
        <v>168</v>
      </c>
      <c r="I12" s="20">
        <v>11</v>
      </c>
      <c r="J12" s="20">
        <f>SUMIFS(Table1[Order Amount],Table1[Order Date],"&gt;="&amp;DATE(2026,Table2[[#This Row],[No. of Month]],1),Table1[Order Date],"&lt;"&amp;DATE(2026,I13,1))</f>
        <v>6680</v>
      </c>
      <c r="K12" s="20">
        <f>Table2[[#This Row],[Total Revenue]]-J11</f>
        <v>640</v>
      </c>
    </row>
    <row r="13" spans="1:11" x14ac:dyDescent="0.3">
      <c r="A13" s="3" t="s">
        <v>40</v>
      </c>
      <c r="B13" s="2">
        <v>46059</v>
      </c>
      <c r="C13" s="1" t="s">
        <v>17</v>
      </c>
      <c r="D13" s="1" t="s">
        <v>18</v>
      </c>
      <c r="E13" s="1" t="s">
        <v>19</v>
      </c>
      <c r="F13" s="1" t="s">
        <v>15</v>
      </c>
      <c r="G13" s="4">
        <v>430</v>
      </c>
      <c r="H13" s="20" t="s">
        <v>169</v>
      </c>
      <c r="I13" s="20">
        <v>12</v>
      </c>
      <c r="J13" s="20">
        <f>SUMIFS(Table1[Order Amount],Table1[Order Date],"&gt;="&amp;DATE(2026,Table2[[#This Row],[No. of Month]],1))</f>
        <v>6310</v>
      </c>
      <c r="K13" s="20">
        <f>Table2[[#This Row],[Total Revenue]]-J12</f>
        <v>-370</v>
      </c>
    </row>
    <row r="14" spans="1:11" x14ac:dyDescent="0.3">
      <c r="A14" s="3" t="s">
        <v>41</v>
      </c>
      <c r="B14" s="2">
        <v>46062</v>
      </c>
      <c r="C14" s="1" t="s">
        <v>7</v>
      </c>
      <c r="D14" s="1" t="s">
        <v>8</v>
      </c>
      <c r="E14" s="1" t="s">
        <v>9</v>
      </c>
      <c r="F14" s="1" t="s">
        <v>20</v>
      </c>
      <c r="G14" s="4">
        <v>560</v>
      </c>
      <c r="H14" s="21" t="s">
        <v>174</v>
      </c>
      <c r="I14" s="21"/>
      <c r="J14" s="22">
        <f>SUMIFS(Table1[Order Amount],Table1[Order Date],"&gt;="&amp;DATE(2026,Table2[[#This Row],[No. of Month]],1),Table1[Order Date],"&lt;"&amp;DATE(2026,I15,1))</f>
        <v>0</v>
      </c>
      <c r="K14" s="20">
        <f>SUM(K2:K13)</f>
        <v>6310</v>
      </c>
    </row>
    <row r="15" spans="1:11" x14ac:dyDescent="0.3">
      <c r="A15" s="3" t="s">
        <v>42</v>
      </c>
      <c r="B15" s="2">
        <v>46065</v>
      </c>
      <c r="C15" s="1" t="s">
        <v>43</v>
      </c>
      <c r="D15" s="1" t="s">
        <v>27</v>
      </c>
      <c r="E15" s="1" t="s">
        <v>44</v>
      </c>
      <c r="F15" s="1" t="s">
        <v>24</v>
      </c>
      <c r="G15" s="4">
        <v>350</v>
      </c>
    </row>
    <row r="16" spans="1:11" x14ac:dyDescent="0.3">
      <c r="A16" s="3" t="s">
        <v>45</v>
      </c>
      <c r="B16" s="2">
        <v>46067</v>
      </c>
      <c r="C16" s="1" t="s">
        <v>46</v>
      </c>
      <c r="D16" s="1" t="s">
        <v>13</v>
      </c>
      <c r="E16" s="1" t="s">
        <v>9</v>
      </c>
      <c r="F16" s="1" t="s">
        <v>29</v>
      </c>
      <c r="G16" s="4">
        <v>690</v>
      </c>
      <c r="H16" s="23"/>
      <c r="I16" s="24"/>
    </row>
    <row r="17" spans="1:9" x14ac:dyDescent="0.3">
      <c r="A17" s="3" t="s">
        <v>47</v>
      </c>
      <c r="B17" s="2">
        <v>46070</v>
      </c>
      <c r="C17" s="1" t="s">
        <v>33</v>
      </c>
      <c r="D17" s="1" t="s">
        <v>8</v>
      </c>
      <c r="E17" s="1" t="s">
        <v>14</v>
      </c>
      <c r="F17" s="1" t="s">
        <v>10</v>
      </c>
      <c r="G17" s="4">
        <v>820</v>
      </c>
      <c r="H17" s="25"/>
      <c r="I17" s="25"/>
    </row>
    <row r="18" spans="1:9" x14ac:dyDescent="0.3">
      <c r="A18" s="3" t="s">
        <v>48</v>
      </c>
      <c r="B18" s="2">
        <v>46073</v>
      </c>
      <c r="C18" s="1" t="s">
        <v>35</v>
      </c>
      <c r="D18" s="1" t="s">
        <v>18</v>
      </c>
      <c r="E18" s="1" t="s">
        <v>28</v>
      </c>
      <c r="F18" s="1" t="s">
        <v>15</v>
      </c>
      <c r="G18" s="4">
        <v>270</v>
      </c>
      <c r="H18" s="25"/>
      <c r="I18" s="25"/>
    </row>
    <row r="19" spans="1:9" x14ac:dyDescent="0.3">
      <c r="A19" s="3" t="s">
        <v>49</v>
      </c>
      <c r="B19" s="2">
        <v>46076</v>
      </c>
      <c r="C19" s="1" t="s">
        <v>50</v>
      </c>
      <c r="D19" s="1" t="s">
        <v>27</v>
      </c>
      <c r="E19" s="1" t="s">
        <v>23</v>
      </c>
      <c r="F19" s="1" t="s">
        <v>20</v>
      </c>
      <c r="G19" s="4">
        <v>590</v>
      </c>
      <c r="H19" s="25"/>
      <c r="I19" s="25"/>
    </row>
    <row r="20" spans="1:9" x14ac:dyDescent="0.3">
      <c r="A20" s="3" t="s">
        <v>51</v>
      </c>
      <c r="B20" s="2">
        <v>46079</v>
      </c>
      <c r="C20" s="1" t="s">
        <v>52</v>
      </c>
      <c r="D20" s="1" t="s">
        <v>13</v>
      </c>
      <c r="E20" s="1" t="s">
        <v>9</v>
      </c>
      <c r="F20" s="1" t="s">
        <v>24</v>
      </c>
      <c r="G20" s="4">
        <v>630</v>
      </c>
      <c r="H20" s="25"/>
      <c r="I20" s="25"/>
    </row>
    <row r="21" spans="1:9" x14ac:dyDescent="0.3">
      <c r="A21" s="3" t="s">
        <v>53</v>
      </c>
      <c r="B21" s="2">
        <v>46081</v>
      </c>
      <c r="C21" s="1" t="s">
        <v>12</v>
      </c>
      <c r="D21" s="1" t="s">
        <v>8</v>
      </c>
      <c r="E21" s="1" t="s">
        <v>14</v>
      </c>
      <c r="F21" s="1" t="s">
        <v>29</v>
      </c>
      <c r="G21" s="4">
        <v>750</v>
      </c>
      <c r="H21" s="25"/>
      <c r="I21" s="25"/>
    </row>
    <row r="22" spans="1:9" x14ac:dyDescent="0.3">
      <c r="A22" s="3" t="s">
        <v>54</v>
      </c>
      <c r="B22" s="2">
        <v>46084</v>
      </c>
      <c r="C22" s="1" t="s">
        <v>17</v>
      </c>
      <c r="D22" s="1" t="s">
        <v>18</v>
      </c>
      <c r="E22" s="1" t="s">
        <v>19</v>
      </c>
      <c r="F22" s="1" t="s">
        <v>10</v>
      </c>
      <c r="G22" s="4">
        <v>410</v>
      </c>
      <c r="H22" s="25"/>
      <c r="I22" s="25"/>
    </row>
    <row r="23" spans="1:9" x14ac:dyDescent="0.3">
      <c r="A23" s="3" t="s">
        <v>55</v>
      </c>
      <c r="B23" s="2">
        <v>46087</v>
      </c>
      <c r="C23" s="1" t="s">
        <v>7</v>
      </c>
      <c r="D23" s="1" t="s">
        <v>27</v>
      </c>
      <c r="E23" s="1" t="s">
        <v>9</v>
      </c>
      <c r="F23" s="1" t="s">
        <v>15</v>
      </c>
      <c r="G23" s="4">
        <v>520</v>
      </c>
    </row>
    <row r="24" spans="1:9" x14ac:dyDescent="0.3">
      <c r="A24" s="3" t="s">
        <v>56</v>
      </c>
      <c r="B24" s="2">
        <v>46090</v>
      </c>
      <c r="C24" s="1" t="s">
        <v>22</v>
      </c>
      <c r="D24" s="1" t="s">
        <v>8</v>
      </c>
      <c r="E24" s="1" t="s">
        <v>23</v>
      </c>
      <c r="F24" s="1" t="s">
        <v>20</v>
      </c>
      <c r="G24" s="4">
        <v>460</v>
      </c>
    </row>
    <row r="25" spans="1:9" x14ac:dyDescent="0.3">
      <c r="A25" s="3" t="s">
        <v>57</v>
      </c>
      <c r="B25" s="2">
        <v>46093</v>
      </c>
      <c r="C25" s="1" t="s">
        <v>26</v>
      </c>
      <c r="D25" s="1" t="s">
        <v>13</v>
      </c>
      <c r="E25" s="1" t="s">
        <v>28</v>
      </c>
      <c r="F25" s="1" t="s">
        <v>24</v>
      </c>
      <c r="G25" s="4">
        <v>330</v>
      </c>
    </row>
    <row r="26" spans="1:9" x14ac:dyDescent="0.3">
      <c r="A26" s="3" t="s">
        <v>58</v>
      </c>
      <c r="B26" s="2">
        <v>46096</v>
      </c>
      <c r="C26" s="1" t="s">
        <v>31</v>
      </c>
      <c r="D26" s="1" t="s">
        <v>18</v>
      </c>
      <c r="E26" s="1" t="s">
        <v>9</v>
      </c>
      <c r="F26" s="1" t="s">
        <v>29</v>
      </c>
      <c r="G26" s="4">
        <v>810</v>
      </c>
    </row>
    <row r="27" spans="1:9" x14ac:dyDescent="0.3">
      <c r="A27" s="3" t="s">
        <v>59</v>
      </c>
      <c r="B27" s="2">
        <v>46099</v>
      </c>
      <c r="C27" s="1" t="s">
        <v>33</v>
      </c>
      <c r="D27" s="1" t="s">
        <v>8</v>
      </c>
      <c r="E27" s="1" t="s">
        <v>14</v>
      </c>
      <c r="F27" s="1" t="s">
        <v>10</v>
      </c>
      <c r="G27" s="4">
        <v>690</v>
      </c>
    </row>
    <row r="28" spans="1:9" x14ac:dyDescent="0.3">
      <c r="A28" s="3" t="s">
        <v>60</v>
      </c>
      <c r="B28" s="2">
        <v>46102</v>
      </c>
      <c r="C28" s="1" t="s">
        <v>35</v>
      </c>
      <c r="D28" s="1" t="s">
        <v>27</v>
      </c>
      <c r="E28" s="1" t="s">
        <v>28</v>
      </c>
      <c r="F28" s="1" t="s">
        <v>15</v>
      </c>
      <c r="G28" s="4">
        <v>310</v>
      </c>
    </row>
    <row r="29" spans="1:9" x14ac:dyDescent="0.3">
      <c r="A29" s="3" t="s">
        <v>61</v>
      </c>
      <c r="B29" s="2">
        <v>46105</v>
      </c>
      <c r="C29" s="1" t="s">
        <v>37</v>
      </c>
      <c r="D29" s="1" t="s">
        <v>13</v>
      </c>
      <c r="E29" s="1" t="s">
        <v>9</v>
      </c>
      <c r="F29" s="1" t="s">
        <v>20</v>
      </c>
      <c r="G29" s="4">
        <v>570</v>
      </c>
    </row>
    <row r="30" spans="1:9" x14ac:dyDescent="0.3">
      <c r="A30" s="3" t="s">
        <v>62</v>
      </c>
      <c r="B30" s="2">
        <v>46108</v>
      </c>
      <c r="C30" s="1" t="s">
        <v>43</v>
      </c>
      <c r="D30" s="1" t="s">
        <v>18</v>
      </c>
      <c r="E30" s="1" t="s">
        <v>44</v>
      </c>
      <c r="F30" s="1" t="s">
        <v>24</v>
      </c>
      <c r="G30" s="4">
        <v>420</v>
      </c>
    </row>
    <row r="31" spans="1:9" x14ac:dyDescent="0.3">
      <c r="A31" s="3" t="s">
        <v>63</v>
      </c>
      <c r="B31" s="2">
        <v>46111</v>
      </c>
      <c r="C31" s="1" t="s">
        <v>46</v>
      </c>
      <c r="D31" s="1" t="s">
        <v>8</v>
      </c>
      <c r="E31" s="1" t="s">
        <v>9</v>
      </c>
      <c r="F31" s="1" t="s">
        <v>29</v>
      </c>
      <c r="G31" s="4">
        <v>760</v>
      </c>
    </row>
    <row r="32" spans="1:9" x14ac:dyDescent="0.3">
      <c r="A32" s="3" t="s">
        <v>64</v>
      </c>
      <c r="B32" s="2">
        <v>46114</v>
      </c>
      <c r="C32" s="1" t="s">
        <v>12</v>
      </c>
      <c r="D32" s="1" t="s">
        <v>27</v>
      </c>
      <c r="E32" s="1" t="s">
        <v>14</v>
      </c>
      <c r="F32" s="1" t="s">
        <v>10</v>
      </c>
      <c r="G32" s="4">
        <v>680</v>
      </c>
    </row>
    <row r="33" spans="1:7" x14ac:dyDescent="0.3">
      <c r="A33" s="3" t="s">
        <v>65</v>
      </c>
      <c r="B33" s="2">
        <v>46117</v>
      </c>
      <c r="C33" s="1" t="s">
        <v>17</v>
      </c>
      <c r="D33" s="1" t="s">
        <v>13</v>
      </c>
      <c r="E33" s="1" t="s">
        <v>19</v>
      </c>
      <c r="F33" s="1" t="s">
        <v>15</v>
      </c>
      <c r="G33" s="4">
        <v>490</v>
      </c>
    </row>
    <row r="34" spans="1:7" x14ac:dyDescent="0.3">
      <c r="A34" s="3" t="s">
        <v>66</v>
      </c>
      <c r="B34" s="2">
        <v>46120</v>
      </c>
      <c r="C34" s="1" t="s">
        <v>7</v>
      </c>
      <c r="D34" s="1" t="s">
        <v>8</v>
      </c>
      <c r="E34" s="1" t="s">
        <v>9</v>
      </c>
      <c r="F34" s="1" t="s">
        <v>20</v>
      </c>
      <c r="G34" s="4">
        <v>580</v>
      </c>
    </row>
    <row r="35" spans="1:7" x14ac:dyDescent="0.3">
      <c r="A35" s="3" t="s">
        <v>67</v>
      </c>
      <c r="B35" s="2">
        <v>46123</v>
      </c>
      <c r="C35" s="1" t="s">
        <v>22</v>
      </c>
      <c r="D35" s="1" t="s">
        <v>18</v>
      </c>
      <c r="E35" s="1" t="s">
        <v>23</v>
      </c>
      <c r="F35" s="1" t="s">
        <v>24</v>
      </c>
      <c r="G35" s="4">
        <v>520</v>
      </c>
    </row>
    <row r="36" spans="1:7" x14ac:dyDescent="0.3">
      <c r="A36" s="3" t="s">
        <v>68</v>
      </c>
      <c r="B36" s="2">
        <v>46126</v>
      </c>
      <c r="C36" s="1" t="s">
        <v>26</v>
      </c>
      <c r="D36" s="1" t="s">
        <v>27</v>
      </c>
      <c r="E36" s="1" t="s">
        <v>28</v>
      </c>
      <c r="F36" s="1" t="s">
        <v>29</v>
      </c>
      <c r="G36" s="4">
        <v>340</v>
      </c>
    </row>
    <row r="37" spans="1:7" x14ac:dyDescent="0.3">
      <c r="A37" s="3" t="s">
        <v>69</v>
      </c>
      <c r="B37" s="2">
        <v>46129</v>
      </c>
      <c r="C37" s="1" t="s">
        <v>31</v>
      </c>
      <c r="D37" s="1" t="s">
        <v>8</v>
      </c>
      <c r="E37" s="1" t="s">
        <v>9</v>
      </c>
      <c r="F37" s="1" t="s">
        <v>10</v>
      </c>
      <c r="G37" s="4">
        <v>870</v>
      </c>
    </row>
    <row r="38" spans="1:7" x14ac:dyDescent="0.3">
      <c r="A38" s="3" t="s">
        <v>70</v>
      </c>
      <c r="B38" s="2">
        <v>46132</v>
      </c>
      <c r="C38" s="1" t="s">
        <v>33</v>
      </c>
      <c r="D38" s="1" t="s">
        <v>13</v>
      </c>
      <c r="E38" s="1" t="s">
        <v>14</v>
      </c>
      <c r="F38" s="1" t="s">
        <v>15</v>
      </c>
      <c r="G38" s="4">
        <v>740</v>
      </c>
    </row>
    <row r="39" spans="1:7" x14ac:dyDescent="0.3">
      <c r="A39" s="3" t="s">
        <v>71</v>
      </c>
      <c r="B39" s="2">
        <v>46135</v>
      </c>
      <c r="C39" s="1" t="s">
        <v>35</v>
      </c>
      <c r="D39" s="1" t="s">
        <v>18</v>
      </c>
      <c r="E39" s="1" t="s">
        <v>28</v>
      </c>
      <c r="F39" s="1" t="s">
        <v>20</v>
      </c>
      <c r="G39" s="4">
        <v>280</v>
      </c>
    </row>
    <row r="40" spans="1:7" x14ac:dyDescent="0.3">
      <c r="A40" s="3" t="s">
        <v>72</v>
      </c>
      <c r="B40" s="2">
        <v>46138</v>
      </c>
      <c r="C40" s="1" t="s">
        <v>37</v>
      </c>
      <c r="D40" s="1" t="s">
        <v>27</v>
      </c>
      <c r="E40" s="1" t="s">
        <v>9</v>
      </c>
      <c r="F40" s="1" t="s">
        <v>24</v>
      </c>
      <c r="G40" s="4">
        <v>610</v>
      </c>
    </row>
    <row r="41" spans="1:7" x14ac:dyDescent="0.3">
      <c r="A41" s="3" t="s">
        <v>73</v>
      </c>
      <c r="B41" s="2">
        <v>46141</v>
      </c>
      <c r="C41" s="1" t="s">
        <v>50</v>
      </c>
      <c r="D41" s="1" t="s">
        <v>8</v>
      </c>
      <c r="E41" s="1" t="s">
        <v>23</v>
      </c>
      <c r="F41" s="1" t="s">
        <v>29</v>
      </c>
      <c r="G41" s="4">
        <v>550</v>
      </c>
    </row>
    <row r="42" spans="1:7" x14ac:dyDescent="0.3">
      <c r="A42" s="3" t="s">
        <v>74</v>
      </c>
      <c r="B42" s="2">
        <v>46145</v>
      </c>
      <c r="C42" s="1" t="s">
        <v>12</v>
      </c>
      <c r="D42" s="1" t="s">
        <v>13</v>
      </c>
      <c r="E42" s="1" t="s">
        <v>14</v>
      </c>
      <c r="F42" s="1" t="s">
        <v>10</v>
      </c>
      <c r="G42" s="4">
        <v>790</v>
      </c>
    </row>
    <row r="43" spans="1:7" x14ac:dyDescent="0.3">
      <c r="A43" s="3" t="s">
        <v>75</v>
      </c>
      <c r="B43" s="2">
        <v>46148</v>
      </c>
      <c r="C43" s="1" t="s">
        <v>17</v>
      </c>
      <c r="D43" s="1" t="s">
        <v>18</v>
      </c>
      <c r="E43" s="1" t="s">
        <v>19</v>
      </c>
      <c r="F43" s="1" t="s">
        <v>15</v>
      </c>
      <c r="G43" s="4">
        <v>450</v>
      </c>
    </row>
    <row r="44" spans="1:7" x14ac:dyDescent="0.3">
      <c r="A44" s="3" t="s">
        <v>76</v>
      </c>
      <c r="B44" s="2">
        <v>46151</v>
      </c>
      <c r="C44" s="1" t="s">
        <v>7</v>
      </c>
      <c r="D44" s="1" t="s">
        <v>8</v>
      </c>
      <c r="E44" s="1" t="s">
        <v>9</v>
      </c>
      <c r="F44" s="1" t="s">
        <v>20</v>
      </c>
      <c r="G44" s="4">
        <v>620</v>
      </c>
    </row>
    <row r="45" spans="1:7" x14ac:dyDescent="0.3">
      <c r="A45" s="3" t="s">
        <v>77</v>
      </c>
      <c r="B45" s="2">
        <v>46154</v>
      </c>
      <c r="C45" s="1" t="s">
        <v>43</v>
      </c>
      <c r="D45" s="1" t="s">
        <v>27</v>
      </c>
      <c r="E45" s="1" t="s">
        <v>44</v>
      </c>
      <c r="F45" s="1" t="s">
        <v>24</v>
      </c>
      <c r="G45" s="4">
        <v>390</v>
      </c>
    </row>
    <row r="46" spans="1:7" x14ac:dyDescent="0.3">
      <c r="A46" s="3" t="s">
        <v>78</v>
      </c>
      <c r="B46" s="2">
        <v>46157</v>
      </c>
      <c r="C46" s="1" t="s">
        <v>46</v>
      </c>
      <c r="D46" s="1" t="s">
        <v>13</v>
      </c>
      <c r="E46" s="1" t="s">
        <v>9</v>
      </c>
      <c r="F46" s="1" t="s">
        <v>29</v>
      </c>
      <c r="G46" s="4">
        <v>840</v>
      </c>
    </row>
    <row r="47" spans="1:7" x14ac:dyDescent="0.3">
      <c r="A47" s="3" t="s">
        <v>79</v>
      </c>
      <c r="B47" s="2">
        <v>46160</v>
      </c>
      <c r="C47" s="1" t="s">
        <v>33</v>
      </c>
      <c r="D47" s="1" t="s">
        <v>8</v>
      </c>
      <c r="E47" s="1" t="s">
        <v>14</v>
      </c>
      <c r="F47" s="1" t="s">
        <v>10</v>
      </c>
      <c r="G47" s="4">
        <v>720</v>
      </c>
    </row>
    <row r="48" spans="1:7" x14ac:dyDescent="0.3">
      <c r="A48" s="3" t="s">
        <v>80</v>
      </c>
      <c r="B48" s="2">
        <v>46163</v>
      </c>
      <c r="C48" s="1" t="s">
        <v>35</v>
      </c>
      <c r="D48" s="1" t="s">
        <v>18</v>
      </c>
      <c r="E48" s="1" t="s">
        <v>28</v>
      </c>
      <c r="F48" s="1" t="s">
        <v>15</v>
      </c>
      <c r="G48" s="4">
        <v>320</v>
      </c>
    </row>
    <row r="49" spans="1:7" x14ac:dyDescent="0.3">
      <c r="A49" s="3" t="s">
        <v>81</v>
      </c>
      <c r="B49" s="2">
        <v>46166</v>
      </c>
      <c r="C49" s="1" t="s">
        <v>22</v>
      </c>
      <c r="D49" s="1" t="s">
        <v>27</v>
      </c>
      <c r="E49" s="1" t="s">
        <v>23</v>
      </c>
      <c r="F49" s="1" t="s">
        <v>20</v>
      </c>
      <c r="G49" s="4">
        <v>580</v>
      </c>
    </row>
    <row r="50" spans="1:7" x14ac:dyDescent="0.3">
      <c r="A50" s="3" t="s">
        <v>82</v>
      </c>
      <c r="B50" s="2">
        <v>46169</v>
      </c>
      <c r="C50" s="1" t="s">
        <v>52</v>
      </c>
      <c r="D50" s="1" t="s">
        <v>13</v>
      </c>
      <c r="E50" s="1" t="s">
        <v>9</v>
      </c>
      <c r="F50" s="1" t="s">
        <v>24</v>
      </c>
      <c r="G50" s="4">
        <v>670</v>
      </c>
    </row>
    <row r="51" spans="1:7" x14ac:dyDescent="0.3">
      <c r="A51" s="3" t="s">
        <v>83</v>
      </c>
      <c r="B51" s="2">
        <v>46172</v>
      </c>
      <c r="C51" s="1" t="s">
        <v>12</v>
      </c>
      <c r="D51" s="1" t="s">
        <v>8</v>
      </c>
      <c r="E51" s="1" t="s">
        <v>14</v>
      </c>
      <c r="F51" s="1" t="s">
        <v>29</v>
      </c>
      <c r="G51" s="4">
        <v>810</v>
      </c>
    </row>
    <row r="52" spans="1:7" x14ac:dyDescent="0.3">
      <c r="A52" s="3" t="s">
        <v>90</v>
      </c>
      <c r="B52" s="2">
        <v>46176</v>
      </c>
      <c r="C52" s="1" t="s">
        <v>7</v>
      </c>
      <c r="D52" s="1" t="s">
        <v>8</v>
      </c>
      <c r="E52" s="1" t="s">
        <v>9</v>
      </c>
      <c r="F52" s="1" t="s">
        <v>10</v>
      </c>
      <c r="G52" s="4">
        <v>490</v>
      </c>
    </row>
    <row r="53" spans="1:7" x14ac:dyDescent="0.3">
      <c r="A53" s="3" t="s">
        <v>91</v>
      </c>
      <c r="B53" s="2">
        <v>46179</v>
      </c>
      <c r="C53" s="1" t="s">
        <v>12</v>
      </c>
      <c r="D53" s="1" t="s">
        <v>13</v>
      </c>
      <c r="E53" s="1" t="s">
        <v>14</v>
      </c>
      <c r="F53" s="1" t="s">
        <v>15</v>
      </c>
      <c r="G53" s="4">
        <v>650</v>
      </c>
    </row>
    <row r="54" spans="1:7" x14ac:dyDescent="0.3">
      <c r="A54" s="3" t="s">
        <v>92</v>
      </c>
      <c r="B54" s="2">
        <v>46182</v>
      </c>
      <c r="C54" s="1" t="s">
        <v>17</v>
      </c>
      <c r="D54" s="1" t="s">
        <v>18</v>
      </c>
      <c r="E54" s="1" t="s">
        <v>19</v>
      </c>
      <c r="F54" s="1" t="s">
        <v>20</v>
      </c>
      <c r="G54" s="4">
        <v>440</v>
      </c>
    </row>
    <row r="55" spans="1:7" x14ac:dyDescent="0.3">
      <c r="A55" s="3" t="s">
        <v>93</v>
      </c>
      <c r="B55" s="2">
        <v>46185</v>
      </c>
      <c r="C55" s="1" t="s">
        <v>22</v>
      </c>
      <c r="D55" s="1" t="s">
        <v>8</v>
      </c>
      <c r="E55" s="1" t="s">
        <v>23</v>
      </c>
      <c r="F55" s="1" t="s">
        <v>24</v>
      </c>
      <c r="G55" s="4">
        <v>560</v>
      </c>
    </row>
    <row r="56" spans="1:7" x14ac:dyDescent="0.3">
      <c r="A56" s="3" t="s">
        <v>94</v>
      </c>
      <c r="B56" s="2">
        <v>46188</v>
      </c>
      <c r="C56" s="1" t="s">
        <v>26</v>
      </c>
      <c r="D56" s="1" t="s">
        <v>27</v>
      </c>
      <c r="E56" s="1" t="s">
        <v>28</v>
      </c>
      <c r="F56" s="1" t="s">
        <v>29</v>
      </c>
      <c r="G56" s="4">
        <v>350</v>
      </c>
    </row>
    <row r="57" spans="1:7" x14ac:dyDescent="0.3">
      <c r="A57" s="3" t="s">
        <v>95</v>
      </c>
      <c r="B57" s="2">
        <v>46191</v>
      </c>
      <c r="C57" s="1" t="s">
        <v>31</v>
      </c>
      <c r="D57" s="1" t="s">
        <v>13</v>
      </c>
      <c r="E57" s="1" t="s">
        <v>9</v>
      </c>
      <c r="F57" s="1" t="s">
        <v>10</v>
      </c>
      <c r="G57" s="4">
        <v>760</v>
      </c>
    </row>
    <row r="58" spans="1:7" x14ac:dyDescent="0.3">
      <c r="A58" s="3" t="s">
        <v>96</v>
      </c>
      <c r="B58" s="2">
        <v>46194</v>
      </c>
      <c r="C58" s="1" t="s">
        <v>33</v>
      </c>
      <c r="D58" s="1" t="s">
        <v>8</v>
      </c>
      <c r="E58" s="1" t="s">
        <v>14</v>
      </c>
      <c r="F58" s="1" t="s">
        <v>15</v>
      </c>
      <c r="G58" s="4">
        <v>710</v>
      </c>
    </row>
    <row r="59" spans="1:7" x14ac:dyDescent="0.3">
      <c r="A59" s="3" t="s">
        <v>97</v>
      </c>
      <c r="B59" s="2">
        <v>46197</v>
      </c>
      <c r="C59" s="1" t="s">
        <v>35</v>
      </c>
      <c r="D59" s="1" t="s">
        <v>18</v>
      </c>
      <c r="E59" s="1" t="s">
        <v>28</v>
      </c>
      <c r="F59" s="1" t="s">
        <v>20</v>
      </c>
      <c r="G59" s="4">
        <v>300</v>
      </c>
    </row>
    <row r="60" spans="1:7" x14ac:dyDescent="0.3">
      <c r="A60" s="3" t="s">
        <v>98</v>
      </c>
      <c r="B60" s="2">
        <v>46200</v>
      </c>
      <c r="C60" s="1" t="s">
        <v>37</v>
      </c>
      <c r="D60" s="1" t="s">
        <v>27</v>
      </c>
      <c r="E60" s="1" t="s">
        <v>9</v>
      </c>
      <c r="F60" s="1" t="s">
        <v>24</v>
      </c>
      <c r="G60" s="4">
        <v>590</v>
      </c>
    </row>
    <row r="61" spans="1:7" x14ac:dyDescent="0.3">
      <c r="A61" s="3" t="s">
        <v>99</v>
      </c>
      <c r="B61" s="2">
        <v>46203</v>
      </c>
      <c r="C61" s="1" t="s">
        <v>50</v>
      </c>
      <c r="D61" s="1" t="s">
        <v>8</v>
      </c>
      <c r="E61" s="1" t="s">
        <v>23</v>
      </c>
      <c r="F61" s="1" t="s">
        <v>29</v>
      </c>
      <c r="G61" s="4">
        <v>610</v>
      </c>
    </row>
    <row r="62" spans="1:7" x14ac:dyDescent="0.3">
      <c r="A62" s="3" t="s">
        <v>100</v>
      </c>
      <c r="B62" s="2">
        <v>46206</v>
      </c>
      <c r="C62" s="1" t="s">
        <v>12</v>
      </c>
      <c r="D62" s="1" t="s">
        <v>13</v>
      </c>
      <c r="E62" s="1" t="s">
        <v>14</v>
      </c>
      <c r="F62" s="1" t="s">
        <v>10</v>
      </c>
      <c r="G62" s="4">
        <v>730</v>
      </c>
    </row>
    <row r="63" spans="1:7" x14ac:dyDescent="0.3">
      <c r="A63" s="3" t="s">
        <v>101</v>
      </c>
      <c r="B63" s="2">
        <v>46209</v>
      </c>
      <c r="C63" s="1" t="s">
        <v>17</v>
      </c>
      <c r="D63" s="1" t="s">
        <v>18</v>
      </c>
      <c r="E63" s="1" t="s">
        <v>19</v>
      </c>
      <c r="F63" s="1" t="s">
        <v>15</v>
      </c>
      <c r="G63" s="4">
        <v>420</v>
      </c>
    </row>
    <row r="64" spans="1:7" x14ac:dyDescent="0.3">
      <c r="A64" s="3" t="s">
        <v>102</v>
      </c>
      <c r="B64" s="2">
        <v>46212</v>
      </c>
      <c r="C64" s="1" t="s">
        <v>7</v>
      </c>
      <c r="D64" s="1" t="s">
        <v>8</v>
      </c>
      <c r="E64" s="1" t="s">
        <v>9</v>
      </c>
      <c r="F64" s="1" t="s">
        <v>20</v>
      </c>
      <c r="G64" s="4">
        <v>600</v>
      </c>
    </row>
    <row r="65" spans="1:7" x14ac:dyDescent="0.3">
      <c r="A65" s="3" t="s">
        <v>103</v>
      </c>
      <c r="B65" s="2">
        <v>46215</v>
      </c>
      <c r="C65" s="1" t="s">
        <v>43</v>
      </c>
      <c r="D65" s="1" t="s">
        <v>27</v>
      </c>
      <c r="E65" s="1" t="s">
        <v>44</v>
      </c>
      <c r="F65" s="1" t="s">
        <v>24</v>
      </c>
      <c r="G65" s="4">
        <v>370</v>
      </c>
    </row>
    <row r="66" spans="1:7" x14ac:dyDescent="0.3">
      <c r="A66" s="3" t="s">
        <v>104</v>
      </c>
      <c r="B66" s="2">
        <v>46218</v>
      </c>
      <c r="C66" s="1" t="s">
        <v>46</v>
      </c>
      <c r="D66" s="1" t="s">
        <v>13</v>
      </c>
      <c r="E66" s="1" t="s">
        <v>9</v>
      </c>
      <c r="F66" s="1" t="s">
        <v>29</v>
      </c>
      <c r="G66" s="4">
        <v>820</v>
      </c>
    </row>
    <row r="67" spans="1:7" x14ac:dyDescent="0.3">
      <c r="A67" s="3" t="s">
        <v>105</v>
      </c>
      <c r="B67" s="2">
        <v>46221</v>
      </c>
      <c r="C67" s="1" t="s">
        <v>33</v>
      </c>
      <c r="D67" s="1" t="s">
        <v>8</v>
      </c>
      <c r="E67" s="1" t="s">
        <v>14</v>
      </c>
      <c r="F67" s="1" t="s">
        <v>10</v>
      </c>
      <c r="G67" s="4">
        <v>780</v>
      </c>
    </row>
    <row r="68" spans="1:7" x14ac:dyDescent="0.3">
      <c r="A68" s="3" t="s">
        <v>106</v>
      </c>
      <c r="B68" s="2">
        <v>46224</v>
      </c>
      <c r="C68" s="1" t="s">
        <v>35</v>
      </c>
      <c r="D68" s="1" t="s">
        <v>18</v>
      </c>
      <c r="E68" s="1" t="s">
        <v>28</v>
      </c>
      <c r="F68" s="1" t="s">
        <v>15</v>
      </c>
      <c r="G68" s="4">
        <v>290</v>
      </c>
    </row>
    <row r="69" spans="1:7" x14ac:dyDescent="0.3">
      <c r="A69" s="3" t="s">
        <v>107</v>
      </c>
      <c r="B69" s="2">
        <v>46227</v>
      </c>
      <c r="C69" s="1" t="s">
        <v>22</v>
      </c>
      <c r="D69" s="1" t="s">
        <v>27</v>
      </c>
      <c r="E69" s="1" t="s">
        <v>23</v>
      </c>
      <c r="F69" s="1" t="s">
        <v>20</v>
      </c>
      <c r="G69" s="4">
        <v>540</v>
      </c>
    </row>
    <row r="70" spans="1:7" x14ac:dyDescent="0.3">
      <c r="A70" s="3" t="s">
        <v>108</v>
      </c>
      <c r="B70" s="2">
        <v>46230</v>
      </c>
      <c r="C70" s="1" t="s">
        <v>52</v>
      </c>
      <c r="D70" s="1" t="s">
        <v>13</v>
      </c>
      <c r="E70" s="1" t="s">
        <v>9</v>
      </c>
      <c r="F70" s="1" t="s">
        <v>24</v>
      </c>
      <c r="G70" s="4">
        <v>690</v>
      </c>
    </row>
    <row r="71" spans="1:7" x14ac:dyDescent="0.3">
      <c r="A71" s="3" t="s">
        <v>109</v>
      </c>
      <c r="B71" s="2">
        <v>46233</v>
      </c>
      <c r="C71" s="1" t="s">
        <v>12</v>
      </c>
      <c r="D71" s="1" t="s">
        <v>8</v>
      </c>
      <c r="E71" s="1" t="s">
        <v>14</v>
      </c>
      <c r="F71" s="1" t="s">
        <v>29</v>
      </c>
      <c r="G71" s="4">
        <v>850</v>
      </c>
    </row>
    <row r="72" spans="1:7" x14ac:dyDescent="0.3">
      <c r="A72" s="3" t="s">
        <v>110</v>
      </c>
      <c r="B72" s="2">
        <v>46237</v>
      </c>
      <c r="C72" s="1" t="s">
        <v>7</v>
      </c>
      <c r="D72" s="1" t="s">
        <v>8</v>
      </c>
      <c r="E72" s="1" t="s">
        <v>9</v>
      </c>
      <c r="F72" s="1" t="s">
        <v>10</v>
      </c>
      <c r="G72" s="4">
        <v>530</v>
      </c>
    </row>
    <row r="73" spans="1:7" x14ac:dyDescent="0.3">
      <c r="A73" s="3" t="s">
        <v>111</v>
      </c>
      <c r="B73" s="2">
        <v>46240</v>
      </c>
      <c r="C73" s="1" t="s">
        <v>12</v>
      </c>
      <c r="D73" s="1" t="s">
        <v>13</v>
      </c>
      <c r="E73" s="1" t="s">
        <v>14</v>
      </c>
      <c r="F73" s="1" t="s">
        <v>15</v>
      </c>
      <c r="G73" s="4">
        <v>680</v>
      </c>
    </row>
    <row r="74" spans="1:7" x14ac:dyDescent="0.3">
      <c r="A74" s="3" t="s">
        <v>112</v>
      </c>
      <c r="B74" s="2">
        <v>46243</v>
      </c>
      <c r="C74" s="1" t="s">
        <v>17</v>
      </c>
      <c r="D74" s="1" t="s">
        <v>18</v>
      </c>
      <c r="E74" s="1" t="s">
        <v>19</v>
      </c>
      <c r="F74" s="1" t="s">
        <v>20</v>
      </c>
      <c r="G74" s="4">
        <v>470</v>
      </c>
    </row>
    <row r="75" spans="1:7" x14ac:dyDescent="0.3">
      <c r="A75" s="3" t="s">
        <v>113</v>
      </c>
      <c r="B75" s="2">
        <v>46246</v>
      </c>
      <c r="C75" s="1" t="s">
        <v>22</v>
      </c>
      <c r="D75" s="1" t="s">
        <v>8</v>
      </c>
      <c r="E75" s="1" t="s">
        <v>23</v>
      </c>
      <c r="F75" s="1" t="s">
        <v>24</v>
      </c>
      <c r="G75" s="4">
        <v>590</v>
      </c>
    </row>
    <row r="76" spans="1:7" x14ac:dyDescent="0.3">
      <c r="A76" s="3" t="s">
        <v>114</v>
      </c>
      <c r="B76" s="2">
        <v>46249</v>
      </c>
      <c r="C76" s="1" t="s">
        <v>26</v>
      </c>
      <c r="D76" s="1" t="s">
        <v>27</v>
      </c>
      <c r="E76" s="1" t="s">
        <v>28</v>
      </c>
      <c r="F76" s="1" t="s">
        <v>29</v>
      </c>
      <c r="G76" s="4">
        <v>360</v>
      </c>
    </row>
    <row r="77" spans="1:7" x14ac:dyDescent="0.3">
      <c r="A77" s="3" t="s">
        <v>115</v>
      </c>
      <c r="B77" s="2">
        <v>46252</v>
      </c>
      <c r="C77" s="1" t="s">
        <v>31</v>
      </c>
      <c r="D77" s="1" t="s">
        <v>13</v>
      </c>
      <c r="E77" s="1" t="s">
        <v>9</v>
      </c>
      <c r="F77" s="1" t="s">
        <v>10</v>
      </c>
      <c r="G77" s="4">
        <v>800</v>
      </c>
    </row>
    <row r="78" spans="1:7" x14ac:dyDescent="0.3">
      <c r="A78" s="3" t="s">
        <v>116</v>
      </c>
      <c r="B78" s="2">
        <v>46255</v>
      </c>
      <c r="C78" s="1" t="s">
        <v>33</v>
      </c>
      <c r="D78" s="1" t="s">
        <v>8</v>
      </c>
      <c r="E78" s="1" t="s">
        <v>14</v>
      </c>
      <c r="F78" s="1" t="s">
        <v>15</v>
      </c>
      <c r="G78" s="4">
        <v>760</v>
      </c>
    </row>
    <row r="79" spans="1:7" x14ac:dyDescent="0.3">
      <c r="A79" s="3" t="s">
        <v>117</v>
      </c>
      <c r="B79" s="2">
        <v>46258</v>
      </c>
      <c r="C79" s="1" t="s">
        <v>35</v>
      </c>
      <c r="D79" s="1" t="s">
        <v>18</v>
      </c>
      <c r="E79" s="1" t="s">
        <v>28</v>
      </c>
      <c r="F79" s="1" t="s">
        <v>20</v>
      </c>
      <c r="G79" s="4">
        <v>330</v>
      </c>
    </row>
    <row r="80" spans="1:7" x14ac:dyDescent="0.3">
      <c r="A80" s="3" t="s">
        <v>118</v>
      </c>
      <c r="B80" s="2">
        <v>46261</v>
      </c>
      <c r="C80" s="1" t="s">
        <v>37</v>
      </c>
      <c r="D80" s="1" t="s">
        <v>27</v>
      </c>
      <c r="E80" s="1" t="s">
        <v>9</v>
      </c>
      <c r="F80" s="1" t="s">
        <v>24</v>
      </c>
      <c r="G80" s="4">
        <v>620</v>
      </c>
    </row>
    <row r="81" spans="1:7" x14ac:dyDescent="0.3">
      <c r="A81" s="3" t="s">
        <v>119</v>
      </c>
      <c r="B81" s="2">
        <v>46264</v>
      </c>
      <c r="C81" s="1" t="s">
        <v>50</v>
      </c>
      <c r="D81" s="1" t="s">
        <v>8</v>
      </c>
      <c r="E81" s="1" t="s">
        <v>23</v>
      </c>
      <c r="F81" s="1" t="s">
        <v>29</v>
      </c>
      <c r="G81" s="4">
        <v>640</v>
      </c>
    </row>
    <row r="82" spans="1:7" x14ac:dyDescent="0.3">
      <c r="A82" s="3" t="s">
        <v>120</v>
      </c>
      <c r="B82" s="2">
        <v>46268</v>
      </c>
      <c r="C82" s="1" t="s">
        <v>12</v>
      </c>
      <c r="D82" s="1" t="s">
        <v>13</v>
      </c>
      <c r="E82" s="1" t="s">
        <v>14</v>
      </c>
      <c r="F82" s="1" t="s">
        <v>10</v>
      </c>
      <c r="G82" s="4">
        <v>760</v>
      </c>
    </row>
    <row r="83" spans="1:7" x14ac:dyDescent="0.3">
      <c r="A83" s="3" t="s">
        <v>121</v>
      </c>
      <c r="B83" s="2">
        <v>46271</v>
      </c>
      <c r="C83" s="1" t="s">
        <v>17</v>
      </c>
      <c r="D83" s="1" t="s">
        <v>18</v>
      </c>
      <c r="E83" s="1" t="s">
        <v>19</v>
      </c>
      <c r="F83" s="1" t="s">
        <v>15</v>
      </c>
      <c r="G83" s="4">
        <v>460</v>
      </c>
    </row>
    <row r="84" spans="1:7" x14ac:dyDescent="0.3">
      <c r="A84" s="3" t="s">
        <v>122</v>
      </c>
      <c r="B84" s="2">
        <v>46274</v>
      </c>
      <c r="C84" s="1" t="s">
        <v>7</v>
      </c>
      <c r="D84" s="1" t="s">
        <v>8</v>
      </c>
      <c r="E84" s="1" t="s">
        <v>9</v>
      </c>
      <c r="F84" s="1" t="s">
        <v>20</v>
      </c>
      <c r="G84" s="4">
        <v>640</v>
      </c>
    </row>
    <row r="85" spans="1:7" x14ac:dyDescent="0.3">
      <c r="A85" s="3" t="s">
        <v>123</v>
      </c>
      <c r="B85" s="2">
        <v>46277</v>
      </c>
      <c r="C85" s="1" t="s">
        <v>43</v>
      </c>
      <c r="D85" s="1" t="s">
        <v>27</v>
      </c>
      <c r="E85" s="1" t="s">
        <v>44</v>
      </c>
      <c r="F85" s="1" t="s">
        <v>24</v>
      </c>
      <c r="G85" s="4">
        <v>410</v>
      </c>
    </row>
    <row r="86" spans="1:7" x14ac:dyDescent="0.3">
      <c r="A86" s="3" t="s">
        <v>124</v>
      </c>
      <c r="B86" s="2">
        <v>46280</v>
      </c>
      <c r="C86" s="1" t="s">
        <v>46</v>
      </c>
      <c r="D86" s="1" t="s">
        <v>13</v>
      </c>
      <c r="E86" s="1" t="s">
        <v>9</v>
      </c>
      <c r="F86" s="1" t="s">
        <v>29</v>
      </c>
      <c r="G86" s="4">
        <v>880</v>
      </c>
    </row>
    <row r="87" spans="1:7" x14ac:dyDescent="0.3">
      <c r="A87" s="3" t="s">
        <v>125</v>
      </c>
      <c r="B87" s="2">
        <v>46283</v>
      </c>
      <c r="C87" s="1" t="s">
        <v>33</v>
      </c>
      <c r="D87" s="1" t="s">
        <v>8</v>
      </c>
      <c r="E87" s="1" t="s">
        <v>14</v>
      </c>
      <c r="F87" s="1" t="s">
        <v>10</v>
      </c>
      <c r="G87" s="4">
        <v>800</v>
      </c>
    </row>
    <row r="88" spans="1:7" x14ac:dyDescent="0.3">
      <c r="A88" s="3" t="s">
        <v>126</v>
      </c>
      <c r="B88" s="2">
        <v>46286</v>
      </c>
      <c r="C88" s="1" t="s">
        <v>35</v>
      </c>
      <c r="D88" s="1" t="s">
        <v>18</v>
      </c>
      <c r="E88" s="1" t="s">
        <v>28</v>
      </c>
      <c r="F88" s="1" t="s">
        <v>15</v>
      </c>
      <c r="G88" s="4">
        <v>340</v>
      </c>
    </row>
    <row r="89" spans="1:7" x14ac:dyDescent="0.3">
      <c r="A89" s="3" t="s">
        <v>127</v>
      </c>
      <c r="B89" s="2">
        <v>46289</v>
      </c>
      <c r="C89" s="1" t="s">
        <v>22</v>
      </c>
      <c r="D89" s="1" t="s">
        <v>27</v>
      </c>
      <c r="E89" s="1" t="s">
        <v>23</v>
      </c>
      <c r="F89" s="1" t="s">
        <v>20</v>
      </c>
      <c r="G89" s="4">
        <v>600</v>
      </c>
    </row>
    <row r="90" spans="1:7" x14ac:dyDescent="0.3">
      <c r="A90" s="3" t="s">
        <v>128</v>
      </c>
      <c r="B90" s="2">
        <v>46292</v>
      </c>
      <c r="C90" s="1" t="s">
        <v>52</v>
      </c>
      <c r="D90" s="1" t="s">
        <v>13</v>
      </c>
      <c r="E90" s="1" t="s">
        <v>9</v>
      </c>
      <c r="F90" s="1" t="s">
        <v>24</v>
      </c>
      <c r="G90" s="4">
        <v>710</v>
      </c>
    </row>
    <row r="91" spans="1:7" x14ac:dyDescent="0.3">
      <c r="A91" s="3" t="s">
        <v>129</v>
      </c>
      <c r="B91" s="2">
        <v>46295</v>
      </c>
      <c r="C91" s="1" t="s">
        <v>12</v>
      </c>
      <c r="D91" s="1" t="s">
        <v>8</v>
      </c>
      <c r="E91" s="1" t="s">
        <v>14</v>
      </c>
      <c r="F91" s="1" t="s">
        <v>29</v>
      </c>
      <c r="G91" s="4">
        <v>860</v>
      </c>
    </row>
    <row r="92" spans="1:7" x14ac:dyDescent="0.3">
      <c r="A92" s="3" t="s">
        <v>130</v>
      </c>
      <c r="B92" s="2">
        <v>46298</v>
      </c>
      <c r="C92" s="1" t="s">
        <v>7</v>
      </c>
      <c r="D92" s="1" t="s">
        <v>8</v>
      </c>
      <c r="E92" s="1" t="s">
        <v>9</v>
      </c>
      <c r="F92" s="1" t="s">
        <v>10</v>
      </c>
      <c r="G92" s="4">
        <v>560</v>
      </c>
    </row>
    <row r="93" spans="1:7" x14ac:dyDescent="0.3">
      <c r="A93" s="3" t="s">
        <v>131</v>
      </c>
      <c r="B93" s="2">
        <v>46301</v>
      </c>
      <c r="C93" s="1" t="s">
        <v>12</v>
      </c>
      <c r="D93" s="1" t="s">
        <v>13</v>
      </c>
      <c r="E93" s="1" t="s">
        <v>14</v>
      </c>
      <c r="F93" s="1" t="s">
        <v>15</v>
      </c>
      <c r="G93" s="4">
        <v>710</v>
      </c>
    </row>
    <row r="94" spans="1:7" x14ac:dyDescent="0.3">
      <c r="A94" s="3" t="s">
        <v>132</v>
      </c>
      <c r="B94" s="2">
        <v>46304</v>
      </c>
      <c r="C94" s="1" t="s">
        <v>17</v>
      </c>
      <c r="D94" s="1" t="s">
        <v>18</v>
      </c>
      <c r="E94" s="1" t="s">
        <v>19</v>
      </c>
      <c r="F94" s="1" t="s">
        <v>20</v>
      </c>
      <c r="G94" s="4">
        <v>480</v>
      </c>
    </row>
    <row r="95" spans="1:7" x14ac:dyDescent="0.3">
      <c r="A95" s="3" t="s">
        <v>133</v>
      </c>
      <c r="B95" s="2">
        <v>46307</v>
      </c>
      <c r="C95" s="1" t="s">
        <v>22</v>
      </c>
      <c r="D95" s="1" t="s">
        <v>8</v>
      </c>
      <c r="E95" s="1" t="s">
        <v>23</v>
      </c>
      <c r="F95" s="1" t="s">
        <v>24</v>
      </c>
      <c r="G95" s="4">
        <v>620</v>
      </c>
    </row>
    <row r="96" spans="1:7" x14ac:dyDescent="0.3">
      <c r="A96" s="3" t="s">
        <v>134</v>
      </c>
      <c r="B96" s="2">
        <v>46310</v>
      </c>
      <c r="C96" s="1" t="s">
        <v>26</v>
      </c>
      <c r="D96" s="1" t="s">
        <v>27</v>
      </c>
      <c r="E96" s="1" t="s">
        <v>28</v>
      </c>
      <c r="F96" s="1" t="s">
        <v>29</v>
      </c>
      <c r="G96" s="4">
        <v>380</v>
      </c>
    </row>
    <row r="97" spans="1:7" x14ac:dyDescent="0.3">
      <c r="A97" s="3" t="s">
        <v>135</v>
      </c>
      <c r="B97" s="2">
        <v>46313</v>
      </c>
      <c r="C97" s="1" t="s">
        <v>31</v>
      </c>
      <c r="D97" s="1" t="s">
        <v>13</v>
      </c>
      <c r="E97" s="1" t="s">
        <v>9</v>
      </c>
      <c r="F97" s="1" t="s">
        <v>10</v>
      </c>
      <c r="G97" s="4">
        <v>830</v>
      </c>
    </row>
    <row r="98" spans="1:7" x14ac:dyDescent="0.3">
      <c r="A98" s="3" t="s">
        <v>136</v>
      </c>
      <c r="B98" s="2">
        <v>46316</v>
      </c>
      <c r="C98" s="1" t="s">
        <v>33</v>
      </c>
      <c r="D98" s="1" t="s">
        <v>8</v>
      </c>
      <c r="E98" s="1" t="s">
        <v>14</v>
      </c>
      <c r="F98" s="1" t="s">
        <v>15</v>
      </c>
      <c r="G98" s="4">
        <v>790</v>
      </c>
    </row>
    <row r="99" spans="1:7" x14ac:dyDescent="0.3">
      <c r="A99" s="3" t="s">
        <v>137</v>
      </c>
      <c r="B99" s="2">
        <v>46319</v>
      </c>
      <c r="C99" s="1" t="s">
        <v>35</v>
      </c>
      <c r="D99" s="1" t="s">
        <v>18</v>
      </c>
      <c r="E99" s="1" t="s">
        <v>28</v>
      </c>
      <c r="F99" s="1" t="s">
        <v>20</v>
      </c>
      <c r="G99" s="4">
        <v>350</v>
      </c>
    </row>
    <row r="100" spans="1:7" x14ac:dyDescent="0.3">
      <c r="A100" s="3" t="s">
        <v>138</v>
      </c>
      <c r="B100" s="2">
        <v>46322</v>
      </c>
      <c r="C100" s="1" t="s">
        <v>37</v>
      </c>
      <c r="D100" s="1" t="s">
        <v>27</v>
      </c>
      <c r="E100" s="1" t="s">
        <v>9</v>
      </c>
      <c r="F100" s="1" t="s">
        <v>24</v>
      </c>
      <c r="G100" s="4">
        <v>650</v>
      </c>
    </row>
    <row r="101" spans="1:7" x14ac:dyDescent="0.3">
      <c r="A101" s="3" t="s">
        <v>139</v>
      </c>
      <c r="B101" s="2">
        <v>46325</v>
      </c>
      <c r="C101" s="1" t="s">
        <v>50</v>
      </c>
      <c r="D101" s="1" t="s">
        <v>8</v>
      </c>
      <c r="E101" s="1" t="s">
        <v>23</v>
      </c>
      <c r="F101" s="1" t="s">
        <v>29</v>
      </c>
      <c r="G101" s="4">
        <v>670</v>
      </c>
    </row>
    <row r="102" spans="1:7" x14ac:dyDescent="0.3">
      <c r="A102" s="3" t="s">
        <v>140</v>
      </c>
      <c r="B102" s="2">
        <v>46329</v>
      </c>
      <c r="C102" s="1" t="s">
        <v>12</v>
      </c>
      <c r="D102" s="1" t="s">
        <v>13</v>
      </c>
      <c r="E102" s="1" t="s">
        <v>14</v>
      </c>
      <c r="F102" s="1" t="s">
        <v>10</v>
      </c>
      <c r="G102" s="4">
        <v>780</v>
      </c>
    </row>
    <row r="103" spans="1:7" x14ac:dyDescent="0.3">
      <c r="A103" s="3" t="s">
        <v>141</v>
      </c>
      <c r="B103" s="2">
        <v>46332</v>
      </c>
      <c r="C103" s="1" t="s">
        <v>17</v>
      </c>
      <c r="D103" s="1" t="s">
        <v>18</v>
      </c>
      <c r="E103" s="1" t="s">
        <v>19</v>
      </c>
      <c r="F103" s="1" t="s">
        <v>15</v>
      </c>
      <c r="G103" s="4">
        <v>490</v>
      </c>
    </row>
    <row r="104" spans="1:7" x14ac:dyDescent="0.3">
      <c r="A104" s="3" t="s">
        <v>142</v>
      </c>
      <c r="B104" s="2">
        <v>46335</v>
      </c>
      <c r="C104" s="1" t="s">
        <v>7</v>
      </c>
      <c r="D104" s="1" t="s">
        <v>8</v>
      </c>
      <c r="E104" s="1" t="s">
        <v>9</v>
      </c>
      <c r="F104" s="1" t="s">
        <v>20</v>
      </c>
      <c r="G104" s="4">
        <v>660</v>
      </c>
    </row>
    <row r="105" spans="1:7" x14ac:dyDescent="0.3">
      <c r="A105" s="3" t="s">
        <v>143</v>
      </c>
      <c r="B105" s="2">
        <v>46338</v>
      </c>
      <c r="C105" s="1" t="s">
        <v>43</v>
      </c>
      <c r="D105" s="1" t="s">
        <v>27</v>
      </c>
      <c r="E105" s="1" t="s">
        <v>44</v>
      </c>
      <c r="F105" s="1" t="s">
        <v>24</v>
      </c>
      <c r="G105" s="4">
        <v>430</v>
      </c>
    </row>
    <row r="106" spans="1:7" x14ac:dyDescent="0.3">
      <c r="A106" s="3" t="s">
        <v>144</v>
      </c>
      <c r="B106" s="2">
        <v>46341</v>
      </c>
      <c r="C106" s="1" t="s">
        <v>46</v>
      </c>
      <c r="D106" s="1" t="s">
        <v>13</v>
      </c>
      <c r="E106" s="1" t="s">
        <v>9</v>
      </c>
      <c r="F106" s="1" t="s">
        <v>29</v>
      </c>
      <c r="G106" s="4">
        <v>900</v>
      </c>
    </row>
    <row r="107" spans="1:7" x14ac:dyDescent="0.3">
      <c r="A107" s="3" t="s">
        <v>145</v>
      </c>
      <c r="B107" s="2">
        <v>46344</v>
      </c>
      <c r="C107" s="1" t="s">
        <v>33</v>
      </c>
      <c r="D107" s="1" t="s">
        <v>8</v>
      </c>
      <c r="E107" s="1" t="s">
        <v>14</v>
      </c>
      <c r="F107" s="1" t="s">
        <v>10</v>
      </c>
      <c r="G107" s="4">
        <v>820</v>
      </c>
    </row>
    <row r="108" spans="1:7" x14ac:dyDescent="0.3">
      <c r="A108" s="3" t="s">
        <v>146</v>
      </c>
      <c r="B108" s="2">
        <v>46347</v>
      </c>
      <c r="C108" s="1" t="s">
        <v>35</v>
      </c>
      <c r="D108" s="1" t="s">
        <v>18</v>
      </c>
      <c r="E108" s="1" t="s">
        <v>28</v>
      </c>
      <c r="F108" s="1" t="s">
        <v>15</v>
      </c>
      <c r="G108" s="4">
        <v>360</v>
      </c>
    </row>
    <row r="109" spans="1:7" x14ac:dyDescent="0.3">
      <c r="A109" s="3" t="s">
        <v>147</v>
      </c>
      <c r="B109" s="2">
        <v>46350</v>
      </c>
      <c r="C109" s="1" t="s">
        <v>22</v>
      </c>
      <c r="D109" s="1" t="s">
        <v>27</v>
      </c>
      <c r="E109" s="1" t="s">
        <v>23</v>
      </c>
      <c r="F109" s="1" t="s">
        <v>20</v>
      </c>
      <c r="G109" s="4">
        <v>630</v>
      </c>
    </row>
    <row r="110" spans="1:7" x14ac:dyDescent="0.3">
      <c r="A110" s="3" t="s">
        <v>148</v>
      </c>
      <c r="B110" s="2">
        <v>46353</v>
      </c>
      <c r="C110" s="1" t="s">
        <v>52</v>
      </c>
      <c r="D110" s="1" t="s">
        <v>13</v>
      </c>
      <c r="E110" s="1" t="s">
        <v>9</v>
      </c>
      <c r="F110" s="1" t="s">
        <v>24</v>
      </c>
      <c r="G110" s="4">
        <v>730</v>
      </c>
    </row>
    <row r="111" spans="1:7" x14ac:dyDescent="0.3">
      <c r="A111" s="3" t="s">
        <v>149</v>
      </c>
      <c r="B111" s="2">
        <v>46356</v>
      </c>
      <c r="C111" s="1" t="s">
        <v>12</v>
      </c>
      <c r="D111" s="1" t="s">
        <v>8</v>
      </c>
      <c r="E111" s="1" t="s">
        <v>14</v>
      </c>
      <c r="F111" s="1" t="s">
        <v>29</v>
      </c>
      <c r="G111" s="4">
        <v>880</v>
      </c>
    </row>
    <row r="112" spans="1:7" x14ac:dyDescent="0.3">
      <c r="A112" s="3" t="s">
        <v>150</v>
      </c>
      <c r="B112" s="2">
        <v>46359</v>
      </c>
      <c r="C112" s="1" t="s">
        <v>7</v>
      </c>
      <c r="D112" s="1" t="s">
        <v>8</v>
      </c>
      <c r="E112" s="1" t="s">
        <v>9</v>
      </c>
      <c r="F112" s="1" t="s">
        <v>10</v>
      </c>
      <c r="G112" s="4">
        <v>590</v>
      </c>
    </row>
    <row r="113" spans="1:7" x14ac:dyDescent="0.3">
      <c r="A113" s="3" t="s">
        <v>151</v>
      </c>
      <c r="B113" s="2">
        <v>46362</v>
      </c>
      <c r="C113" s="1" t="s">
        <v>12</v>
      </c>
      <c r="D113" s="1" t="s">
        <v>13</v>
      </c>
      <c r="E113" s="1" t="s">
        <v>14</v>
      </c>
      <c r="F113" s="1" t="s">
        <v>15</v>
      </c>
      <c r="G113" s="4">
        <v>740</v>
      </c>
    </row>
    <row r="114" spans="1:7" x14ac:dyDescent="0.3">
      <c r="A114" s="3" t="s">
        <v>152</v>
      </c>
      <c r="B114" s="2">
        <v>46365</v>
      </c>
      <c r="C114" s="1" t="s">
        <v>17</v>
      </c>
      <c r="D114" s="1" t="s">
        <v>18</v>
      </c>
      <c r="E114" s="1" t="s">
        <v>19</v>
      </c>
      <c r="F114" s="1" t="s">
        <v>20</v>
      </c>
      <c r="G114" s="4">
        <v>510</v>
      </c>
    </row>
    <row r="115" spans="1:7" x14ac:dyDescent="0.3">
      <c r="A115" s="3" t="s">
        <v>153</v>
      </c>
      <c r="B115" s="2">
        <v>46368</v>
      </c>
      <c r="C115" s="1" t="s">
        <v>22</v>
      </c>
      <c r="D115" s="1" t="s">
        <v>8</v>
      </c>
      <c r="E115" s="1" t="s">
        <v>23</v>
      </c>
      <c r="F115" s="1" t="s">
        <v>24</v>
      </c>
      <c r="G115" s="4">
        <v>650</v>
      </c>
    </row>
    <row r="116" spans="1:7" x14ac:dyDescent="0.3">
      <c r="A116" s="3" t="s">
        <v>154</v>
      </c>
      <c r="B116" s="2">
        <v>46371</v>
      </c>
      <c r="C116" s="1" t="s">
        <v>26</v>
      </c>
      <c r="D116" s="1" t="s">
        <v>27</v>
      </c>
      <c r="E116" s="1" t="s">
        <v>28</v>
      </c>
      <c r="F116" s="1" t="s">
        <v>29</v>
      </c>
      <c r="G116" s="4">
        <v>390</v>
      </c>
    </row>
    <row r="117" spans="1:7" x14ac:dyDescent="0.3">
      <c r="A117" s="3" t="s">
        <v>155</v>
      </c>
      <c r="B117" s="2">
        <v>46374</v>
      </c>
      <c r="C117" s="1" t="s">
        <v>31</v>
      </c>
      <c r="D117" s="1" t="s">
        <v>13</v>
      </c>
      <c r="E117" s="1" t="s">
        <v>9</v>
      </c>
      <c r="F117" s="1" t="s">
        <v>10</v>
      </c>
      <c r="G117" s="4">
        <v>850</v>
      </c>
    </row>
    <row r="118" spans="1:7" x14ac:dyDescent="0.3">
      <c r="A118" s="3" t="s">
        <v>156</v>
      </c>
      <c r="B118" s="2">
        <v>46377</v>
      </c>
      <c r="C118" s="1" t="s">
        <v>33</v>
      </c>
      <c r="D118" s="1" t="s">
        <v>8</v>
      </c>
      <c r="E118" s="1" t="s">
        <v>14</v>
      </c>
      <c r="F118" s="1" t="s">
        <v>15</v>
      </c>
      <c r="G118" s="4">
        <v>830</v>
      </c>
    </row>
    <row r="119" spans="1:7" x14ac:dyDescent="0.3">
      <c r="A119" s="3" t="s">
        <v>157</v>
      </c>
      <c r="B119" s="2">
        <v>46380</v>
      </c>
      <c r="C119" s="1" t="s">
        <v>35</v>
      </c>
      <c r="D119" s="1" t="s">
        <v>18</v>
      </c>
      <c r="E119" s="1" t="s">
        <v>28</v>
      </c>
      <c r="F119" s="1" t="s">
        <v>20</v>
      </c>
      <c r="G119" s="4">
        <v>370</v>
      </c>
    </row>
    <row r="120" spans="1:7" x14ac:dyDescent="0.3">
      <c r="A120" s="3" t="s">
        <v>158</v>
      </c>
      <c r="B120" s="2">
        <v>46383</v>
      </c>
      <c r="C120" s="1" t="s">
        <v>37</v>
      </c>
      <c r="D120" s="1" t="s">
        <v>27</v>
      </c>
      <c r="E120" s="1" t="s">
        <v>9</v>
      </c>
      <c r="F120" s="1" t="s">
        <v>24</v>
      </c>
      <c r="G120" s="4">
        <v>680</v>
      </c>
    </row>
    <row r="121" spans="1:7" x14ac:dyDescent="0.3">
      <c r="A121" s="5" t="s">
        <v>159</v>
      </c>
      <c r="B121" s="6">
        <v>46386</v>
      </c>
      <c r="C121" s="7" t="s">
        <v>50</v>
      </c>
      <c r="D121" s="7" t="s">
        <v>8</v>
      </c>
      <c r="E121" s="7" t="s">
        <v>23</v>
      </c>
      <c r="F121" s="7" t="s">
        <v>29</v>
      </c>
      <c r="G121" s="8">
        <v>700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FBF7-07A3-44AC-9B67-7047357630EA}">
  <dimension ref="A3:B10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0" t="s">
        <v>85</v>
      </c>
      <c r="B3" t="s">
        <v>84</v>
      </c>
    </row>
    <row r="4" spans="1:2" x14ac:dyDescent="0.3">
      <c r="A4" s="11" t="s">
        <v>9</v>
      </c>
      <c r="B4" s="9">
        <v>37</v>
      </c>
    </row>
    <row r="5" spans="1:2" x14ac:dyDescent="0.3">
      <c r="A5" s="11" t="s">
        <v>14</v>
      </c>
      <c r="B5" s="9">
        <v>28</v>
      </c>
    </row>
    <row r="6" spans="1:2" x14ac:dyDescent="0.3">
      <c r="A6" s="11" t="s">
        <v>28</v>
      </c>
      <c r="B6" s="9">
        <v>19</v>
      </c>
    </row>
    <row r="7" spans="1:2" x14ac:dyDescent="0.3">
      <c r="A7" s="11" t="s">
        <v>23</v>
      </c>
      <c r="B7" s="9">
        <v>18</v>
      </c>
    </row>
    <row r="8" spans="1:2" x14ac:dyDescent="0.3">
      <c r="A8" s="11" t="s">
        <v>19</v>
      </c>
      <c r="B8" s="9">
        <v>12</v>
      </c>
    </row>
    <row r="9" spans="1:2" x14ac:dyDescent="0.3">
      <c r="A9" s="11" t="s">
        <v>44</v>
      </c>
      <c r="B9" s="9">
        <v>6</v>
      </c>
    </row>
    <row r="10" spans="1:2" x14ac:dyDescent="0.3">
      <c r="A10" s="11" t="s">
        <v>86</v>
      </c>
      <c r="B10" s="9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85BA-999B-47C5-8A8F-DD998499CA18}">
  <dimension ref="A3:B1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10" t="s">
        <v>85</v>
      </c>
      <c r="B3" t="s">
        <v>175</v>
      </c>
    </row>
    <row r="4" spans="1:2" x14ac:dyDescent="0.3">
      <c r="A4" s="11" t="s">
        <v>87</v>
      </c>
      <c r="B4" s="9">
        <v>5020</v>
      </c>
    </row>
    <row r="5" spans="1:2" x14ac:dyDescent="0.3">
      <c r="A5" s="11" t="s">
        <v>88</v>
      </c>
      <c r="B5" s="9">
        <v>790</v>
      </c>
    </row>
    <row r="6" spans="1:2" x14ac:dyDescent="0.3">
      <c r="A6" s="11" t="s">
        <v>160</v>
      </c>
      <c r="B6" s="9">
        <v>-530</v>
      </c>
    </row>
    <row r="7" spans="1:2" x14ac:dyDescent="0.3">
      <c r="A7" s="11" t="s">
        <v>161</v>
      </c>
      <c r="B7" s="9">
        <v>380</v>
      </c>
    </row>
    <row r="8" spans="1:2" x14ac:dyDescent="0.3">
      <c r="A8" s="11" t="s">
        <v>162</v>
      </c>
      <c r="B8" s="9">
        <v>530</v>
      </c>
    </row>
    <row r="9" spans="1:2" x14ac:dyDescent="0.3">
      <c r="A9" s="11" t="s">
        <v>163</v>
      </c>
      <c r="B9" s="9">
        <v>-730</v>
      </c>
    </row>
    <row r="10" spans="1:2" x14ac:dyDescent="0.3">
      <c r="A10" s="11" t="s">
        <v>164</v>
      </c>
      <c r="B10" s="9">
        <v>630</v>
      </c>
    </row>
    <row r="11" spans="1:2" x14ac:dyDescent="0.3">
      <c r="A11" s="11" t="s">
        <v>165</v>
      </c>
      <c r="B11" s="9">
        <v>-310</v>
      </c>
    </row>
    <row r="12" spans="1:2" x14ac:dyDescent="0.3">
      <c r="A12" s="11" t="s">
        <v>166</v>
      </c>
      <c r="B12" s="9">
        <v>680</v>
      </c>
    </row>
    <row r="13" spans="1:2" x14ac:dyDescent="0.3">
      <c r="A13" s="11" t="s">
        <v>167</v>
      </c>
      <c r="B13" s="9">
        <v>-420</v>
      </c>
    </row>
    <row r="14" spans="1:2" x14ac:dyDescent="0.3">
      <c r="A14" s="11" t="s">
        <v>168</v>
      </c>
      <c r="B14" s="9">
        <v>640</v>
      </c>
    </row>
    <row r="15" spans="1:2" x14ac:dyDescent="0.3">
      <c r="A15" s="11" t="s">
        <v>169</v>
      </c>
      <c r="B15" s="9">
        <v>-370</v>
      </c>
    </row>
    <row r="16" spans="1:2" x14ac:dyDescent="0.3">
      <c r="A16" s="11" t="s">
        <v>174</v>
      </c>
      <c r="B16" s="9">
        <v>6310</v>
      </c>
    </row>
    <row r="17" spans="1:2" x14ac:dyDescent="0.3">
      <c r="A17" s="11" t="s">
        <v>176</v>
      </c>
      <c r="B17" s="9"/>
    </row>
    <row r="18" spans="1:2" x14ac:dyDescent="0.3">
      <c r="A18" s="11" t="s">
        <v>86</v>
      </c>
      <c r="B18" s="9">
        <v>12620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A88C-C30C-43A7-BE14-EF2987453EBD}">
  <dimension ref="A3:B16"/>
  <sheetViews>
    <sheetView workbookViewId="0">
      <selection activeCell="M5" sqref="M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10" t="s">
        <v>85</v>
      </c>
      <c r="B3" t="s">
        <v>177</v>
      </c>
    </row>
    <row r="4" spans="1:2" x14ac:dyDescent="0.3">
      <c r="A4" s="11" t="s">
        <v>87</v>
      </c>
      <c r="B4" s="9">
        <v>5020</v>
      </c>
    </row>
    <row r="5" spans="1:2" x14ac:dyDescent="0.3">
      <c r="A5" s="11" t="s">
        <v>88</v>
      </c>
      <c r="B5" s="9">
        <v>5810</v>
      </c>
    </row>
    <row r="6" spans="1:2" x14ac:dyDescent="0.3">
      <c r="A6" s="11" t="s">
        <v>160</v>
      </c>
      <c r="B6" s="9">
        <v>5280</v>
      </c>
    </row>
    <row r="7" spans="1:2" x14ac:dyDescent="0.3">
      <c r="A7" s="11" t="s">
        <v>161</v>
      </c>
      <c r="B7" s="9">
        <v>5660</v>
      </c>
    </row>
    <row r="8" spans="1:2" x14ac:dyDescent="0.3">
      <c r="A8" s="11" t="s">
        <v>162</v>
      </c>
      <c r="B8" s="9">
        <v>6190</v>
      </c>
    </row>
    <row r="9" spans="1:2" x14ac:dyDescent="0.3">
      <c r="A9" s="11" t="s">
        <v>163</v>
      </c>
      <c r="B9" s="9">
        <v>5460</v>
      </c>
    </row>
    <row r="10" spans="1:2" x14ac:dyDescent="0.3">
      <c r="A10" s="11" t="s">
        <v>164</v>
      </c>
      <c r="B10" s="9">
        <v>6090</v>
      </c>
    </row>
    <row r="11" spans="1:2" x14ac:dyDescent="0.3">
      <c r="A11" s="11" t="s">
        <v>165</v>
      </c>
      <c r="B11" s="9">
        <v>5780</v>
      </c>
    </row>
    <row r="12" spans="1:2" x14ac:dyDescent="0.3">
      <c r="A12" s="11" t="s">
        <v>166</v>
      </c>
      <c r="B12" s="9">
        <v>6460</v>
      </c>
    </row>
    <row r="13" spans="1:2" x14ac:dyDescent="0.3">
      <c r="A13" s="11" t="s">
        <v>167</v>
      </c>
      <c r="B13" s="9">
        <v>6040</v>
      </c>
    </row>
    <row r="14" spans="1:2" x14ac:dyDescent="0.3">
      <c r="A14" s="11" t="s">
        <v>168</v>
      </c>
      <c r="B14" s="9">
        <v>6680</v>
      </c>
    </row>
    <row r="15" spans="1:2" x14ac:dyDescent="0.3">
      <c r="A15" s="11" t="s">
        <v>169</v>
      </c>
      <c r="B15" s="9">
        <v>6310</v>
      </c>
    </row>
    <row r="16" spans="1:2" x14ac:dyDescent="0.3">
      <c r="A16" s="11" t="s">
        <v>86</v>
      </c>
      <c r="B16" s="9">
        <v>70780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5933-AB43-4248-8966-94373D35F1EC}">
  <dimension ref="A1:X56"/>
  <sheetViews>
    <sheetView tabSelected="1" zoomScale="85" zoomScaleNormal="85" workbookViewId="0">
      <selection activeCell="Y6" sqref="Y6"/>
    </sheetView>
  </sheetViews>
  <sheetFormatPr defaultRowHeight="14.4" x14ac:dyDescent="0.3"/>
  <sheetData>
    <row r="1" spans="1:24" ht="23.4" customHeight="1" x14ac:dyDescent="0.3">
      <c r="A1" s="27" t="s">
        <v>178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28.8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27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14.4" customHeight="1" x14ac:dyDescent="0.3">
      <c r="A4" s="17">
        <f>MIN(DATASET!G2:G121)</f>
        <v>270</v>
      </c>
      <c r="B4" s="17"/>
      <c r="C4" s="17"/>
      <c r="D4" s="17"/>
      <c r="E4" s="17"/>
      <c r="F4" s="17"/>
      <c r="G4" s="17"/>
      <c r="H4" s="26"/>
      <c r="I4" s="16">
        <f>MAX(DATASET!G2:G121)</f>
        <v>900</v>
      </c>
      <c r="J4" s="16"/>
      <c r="K4" s="16"/>
      <c r="L4" s="16"/>
      <c r="M4" s="16"/>
      <c r="N4" s="16"/>
      <c r="O4" s="16"/>
      <c r="P4" s="26"/>
      <c r="Q4" s="18">
        <f>AVERAGEA(DATASET!G2:G121)</f>
        <v>589.83333333333337</v>
      </c>
      <c r="R4" s="18"/>
      <c r="S4" s="18"/>
      <c r="T4" s="18"/>
      <c r="U4" s="18"/>
      <c r="V4" s="18"/>
      <c r="W4" s="18"/>
      <c r="X4" s="18"/>
    </row>
    <row r="5" spans="1:24" ht="14.4" customHeight="1" x14ac:dyDescent="0.3">
      <c r="A5" s="17"/>
      <c r="B5" s="17"/>
      <c r="C5" s="17"/>
      <c r="D5" s="17"/>
      <c r="E5" s="17"/>
      <c r="F5" s="17"/>
      <c r="G5" s="17"/>
      <c r="H5" s="26"/>
      <c r="I5" s="16"/>
      <c r="J5" s="16"/>
      <c r="K5" s="16"/>
      <c r="L5" s="16"/>
      <c r="M5" s="16"/>
      <c r="N5" s="16"/>
      <c r="O5" s="16"/>
      <c r="P5" s="26"/>
      <c r="Q5" s="18"/>
      <c r="R5" s="18"/>
      <c r="S5" s="18"/>
      <c r="T5" s="18"/>
      <c r="U5" s="18"/>
      <c r="V5" s="18"/>
      <c r="W5" s="18"/>
      <c r="X5" s="18"/>
    </row>
    <row r="6" spans="1:24" ht="14.4" customHeight="1" x14ac:dyDescent="0.3">
      <c r="A6" s="17"/>
      <c r="B6" s="17"/>
      <c r="C6" s="17"/>
      <c r="D6" s="17"/>
      <c r="E6" s="17"/>
      <c r="F6" s="17"/>
      <c r="G6" s="17"/>
      <c r="H6" s="26"/>
      <c r="I6" s="16"/>
      <c r="J6" s="16"/>
      <c r="K6" s="16"/>
      <c r="L6" s="16"/>
      <c r="M6" s="16"/>
      <c r="N6" s="16"/>
      <c r="O6" s="16"/>
      <c r="P6" s="26"/>
      <c r="Q6" s="18"/>
      <c r="R6" s="18"/>
      <c r="S6" s="18"/>
      <c r="T6" s="18"/>
      <c r="U6" s="18"/>
      <c r="V6" s="18"/>
      <c r="W6" s="18"/>
      <c r="X6" s="18"/>
    </row>
    <row r="7" spans="1:24" ht="14.4" customHeight="1" x14ac:dyDescent="0.3">
      <c r="A7" s="17"/>
      <c r="B7" s="17"/>
      <c r="C7" s="17"/>
      <c r="D7" s="17"/>
      <c r="E7" s="17"/>
      <c r="F7" s="17"/>
      <c r="G7" s="17"/>
      <c r="H7" s="26"/>
      <c r="I7" s="16"/>
      <c r="J7" s="16"/>
      <c r="K7" s="16"/>
      <c r="L7" s="16"/>
      <c r="M7" s="16"/>
      <c r="N7" s="16"/>
      <c r="O7" s="16"/>
      <c r="P7" s="26"/>
      <c r="Q7" s="18"/>
      <c r="R7" s="18"/>
      <c r="S7" s="18"/>
      <c r="T7" s="18"/>
      <c r="U7" s="18"/>
      <c r="V7" s="18"/>
      <c r="W7" s="18"/>
      <c r="X7" s="18"/>
    </row>
    <row r="41" spans="1:24" x14ac:dyDescent="0.3">
      <c r="A41" s="28" t="s">
        <v>179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spans="1:24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spans="1:24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spans="1:24" ht="14.4" customHeight="1" x14ac:dyDescent="0.3">
      <c r="A44" s="29" t="s">
        <v>180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4.4" customHeight="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4.4" customHeight="1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4.4" customHeight="1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14.4" customHeight="1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4.4" customHeight="1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4.4" customHeight="1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4.4" customHeight="1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4.4" customHeight="1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</sheetData>
  <mergeCells count="8">
    <mergeCell ref="A44:X56"/>
    <mergeCell ref="A41:X43"/>
    <mergeCell ref="I4:O7"/>
    <mergeCell ref="A4:G7"/>
    <mergeCell ref="H4:H7"/>
    <mergeCell ref="P4:P7"/>
    <mergeCell ref="A1:X3"/>
    <mergeCell ref="Q4:X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Cuisine_Summary</vt:lpstr>
      <vt:lpstr>Monthwise_Summary</vt:lpstr>
      <vt:lpstr>Revenue_Trend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2026-09-28T09:14:05Z</dcterms:created>
  <dcterms:modified xsi:type="dcterms:W3CDTF">2026-09-28T11:41:04Z</dcterms:modified>
</cp:coreProperties>
</file>