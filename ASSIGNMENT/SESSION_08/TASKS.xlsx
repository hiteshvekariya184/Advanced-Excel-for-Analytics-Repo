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08\"/>
    </mc:Choice>
  </mc:AlternateContent>
  <xr:revisionPtr revIDLastSave="0" documentId="13_ncr:1_{65F7E965-05BC-49C5-B719-084E76F1B677}" xr6:coauthVersionLast="47" xr6:coauthVersionMax="47" xr10:uidLastSave="{00000000-0000-0000-0000-000000000000}"/>
  <bookViews>
    <workbookView xWindow="-108" yWindow="-108" windowWidth="23256" windowHeight="12576" xr2:uid="{E0F2B47D-B9CD-41B5-9F73-91BD62527562}"/>
  </bookViews>
  <sheets>
    <sheet name="Demo" sheetId="6" r:id="rId1"/>
    <sheet name="Tasks_01" sheetId="1" r:id="rId2"/>
    <sheet name="Tasks_02" sheetId="2" r:id="rId3"/>
    <sheet name="Tasks_03" sheetId="3" r:id="rId4"/>
    <sheet name="Tasks_04" sheetId="4" r:id="rId5"/>
    <sheet name="Tasks_0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10" i="5"/>
  <c r="G11" i="5"/>
  <c r="G12" i="5"/>
  <c r="G13" i="5"/>
  <c r="G4" i="5"/>
  <c r="G5" i="4"/>
  <c r="G6" i="4"/>
  <c r="G7" i="4"/>
  <c r="G8" i="4"/>
  <c r="G9" i="4"/>
  <c r="G10" i="4"/>
  <c r="G11" i="4"/>
  <c r="G12" i="4"/>
  <c r="G13" i="4"/>
  <c r="G4" i="4"/>
  <c r="G5" i="3"/>
  <c r="G6" i="3"/>
  <c r="G7" i="3"/>
  <c r="G8" i="3"/>
  <c r="G9" i="3"/>
  <c r="G10" i="3"/>
  <c r="G11" i="3"/>
  <c r="G12" i="3"/>
  <c r="G13" i="3"/>
  <c r="G4" i="3"/>
  <c r="E5" i="2"/>
  <c r="E6" i="2"/>
  <c r="E7" i="2"/>
  <c r="E8" i="2"/>
  <c r="E9" i="2"/>
  <c r="E10" i="2"/>
  <c r="E11" i="2"/>
  <c r="E12" i="2"/>
  <c r="E13" i="2"/>
  <c r="E4" i="2"/>
  <c r="G5" i="1"/>
  <c r="G6" i="1"/>
  <c r="G7" i="1"/>
  <c r="G8" i="1"/>
  <c r="G9" i="1"/>
  <c r="G10" i="1"/>
  <c r="G11" i="1"/>
  <c r="G12" i="1"/>
  <c r="G13" i="1"/>
  <c r="G4" i="1"/>
  <c r="E5" i="6"/>
  <c r="E6" i="6"/>
  <c r="E7" i="6"/>
  <c r="E8" i="6"/>
  <c r="E9" i="6"/>
  <c r="E10" i="6"/>
  <c r="E4" i="6"/>
</calcChain>
</file>

<file path=xl/sharedStrings.xml><?xml version="1.0" encoding="utf-8"?>
<sst xmlns="http://schemas.openxmlformats.org/spreadsheetml/2006/main" count="163" uniqueCount="102">
  <si>
    <t>Student Name</t>
  </si>
  <si>
    <t>Marks</t>
  </si>
  <si>
    <t>Result</t>
  </si>
  <si>
    <t>Rahul</t>
  </si>
  <si>
    <t>Priya</t>
  </si>
  <si>
    <t>Amit</t>
  </si>
  <si>
    <t>Neha</t>
  </si>
  <si>
    <t>Karan</t>
  </si>
  <si>
    <t>Riya</t>
  </si>
  <si>
    <t>Jay</t>
  </si>
  <si>
    <t>Order ID</t>
  </si>
  <si>
    <t>Customer Name</t>
  </si>
  <si>
    <t>Food Item</t>
  </si>
  <si>
    <t>Total Amount (₹)</t>
  </si>
  <si>
    <t>Order Type</t>
  </si>
  <si>
    <t>FD001</t>
  </si>
  <si>
    <t>Pizza</t>
  </si>
  <si>
    <t>FD002</t>
  </si>
  <si>
    <t>Burger</t>
  </si>
  <si>
    <t>FD003</t>
  </si>
  <si>
    <t>Biryani</t>
  </si>
  <si>
    <t>FD004</t>
  </si>
  <si>
    <t>Sandwich</t>
  </si>
  <si>
    <t>FD005</t>
  </si>
  <si>
    <t>Pasta</t>
  </si>
  <si>
    <t>FD006</t>
  </si>
  <si>
    <t>Thali</t>
  </si>
  <si>
    <t>FD007</t>
  </si>
  <si>
    <t>FD008</t>
  </si>
  <si>
    <t>Meera</t>
  </si>
  <si>
    <t>FD009</t>
  </si>
  <si>
    <t>Arjun</t>
  </si>
  <si>
    <t>FD010</t>
  </si>
  <si>
    <t>Pooja</t>
  </si>
  <si>
    <t>Dosa</t>
  </si>
  <si>
    <t>Player Name</t>
  </si>
  <si>
    <t>Total Runs</t>
  </si>
  <si>
    <t>Rating</t>
  </si>
  <si>
    <t>Virat</t>
  </si>
  <si>
    <t>Rohit</t>
  </si>
  <si>
    <t>Shubman</t>
  </si>
  <si>
    <t>Rishabh</t>
  </si>
  <si>
    <t>Hardik</t>
  </si>
  <si>
    <t>Ishan</t>
  </si>
  <si>
    <t>Sanju</t>
  </si>
  <si>
    <t>Suryakumar</t>
  </si>
  <si>
    <t>Gill</t>
  </si>
  <si>
    <t>Payment Method</t>
  </si>
  <si>
    <t>Order Status</t>
  </si>
  <si>
    <t>Eligibility</t>
  </si>
  <si>
    <t>FK001</t>
  </si>
  <si>
    <t>Prepaid</t>
  </si>
  <si>
    <t>Delivered</t>
  </si>
  <si>
    <t>FK002</t>
  </si>
  <si>
    <t>Cash on Delivery</t>
  </si>
  <si>
    <t>FK003</t>
  </si>
  <si>
    <t>Cancelled</t>
  </si>
  <si>
    <t>FK004</t>
  </si>
  <si>
    <t>FK005</t>
  </si>
  <si>
    <t>FK006</t>
  </si>
  <si>
    <t>Shipped</t>
  </si>
  <si>
    <t>FK007</t>
  </si>
  <si>
    <t>FK008</t>
  </si>
  <si>
    <t>FK009</t>
  </si>
  <si>
    <t>FK010</t>
  </si>
  <si>
    <t>Song Name</t>
  </si>
  <si>
    <t>Artist</t>
  </si>
  <si>
    <t>isDownloaded</t>
  </si>
  <si>
    <t>isFavorite</t>
  </si>
  <si>
    <t>Access</t>
  </si>
  <si>
    <t>Perfect</t>
  </si>
  <si>
    <t>Ed Sheeran</t>
  </si>
  <si>
    <t>Believer</t>
  </si>
  <si>
    <t>Imagine Dragons</t>
  </si>
  <si>
    <t>Shape of You</t>
  </si>
  <si>
    <t>Blinding Lights</t>
  </si>
  <si>
    <t>The Weeknd</t>
  </si>
  <si>
    <t>Senorita</t>
  </si>
  <si>
    <t>Shawn Mendes</t>
  </si>
  <si>
    <t>Faded</t>
  </si>
  <si>
    <t>Alan Walker</t>
  </si>
  <si>
    <t>Heat Waves</t>
  </si>
  <si>
    <t>Glass Animals</t>
  </si>
  <si>
    <t>Stay</t>
  </si>
  <si>
    <t>Justin Bieber</t>
  </si>
  <si>
    <t>Memories</t>
  </si>
  <si>
    <t>Maroon 5</t>
  </si>
  <si>
    <t>Counting Stars</t>
  </si>
  <si>
    <t>OneRepublic</t>
  </si>
  <si>
    <t>New Address</t>
  </si>
  <si>
    <t>ZM001</t>
  </si>
  <si>
    <t>Online</t>
  </si>
  <si>
    <t>ZM002</t>
  </si>
  <si>
    <t>Cash</t>
  </si>
  <si>
    <t>ZM003</t>
  </si>
  <si>
    <t>ZM004</t>
  </si>
  <si>
    <t>ZM005</t>
  </si>
  <si>
    <t>ZM006</t>
  </si>
  <si>
    <t>ZM007</t>
  </si>
  <si>
    <t>ZM008</t>
  </si>
  <si>
    <t>ZM009</t>
  </si>
  <si>
    <t>ZM010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</si>
</sst>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2782-FD65-4DD4-B0F9-D41B5EDA5723}">
  <dimension ref="C3:E10"/>
  <sheetViews>
    <sheetView tabSelected="1" workbookViewId="0">
      <selection activeCell="C5" sqref="C5"/>
    </sheetView>
  </sheetViews>
  <sheetFormatPr defaultRowHeight="14.4" x14ac:dyDescent="0.3"/>
  <cols>
    <col min="3" max="3" width="13.21875" bestFit="1" customWidth="1"/>
    <col min="4" max="4" width="6.21875" bestFit="1" customWidth="1"/>
    <col min="5" max="5" width="6.109375" bestFit="1" customWidth="1"/>
  </cols>
  <sheetData>
    <row r="3" spans="3:5" x14ac:dyDescent="0.3">
      <c r="C3" s="2" t="s">
        <v>0</v>
      </c>
      <c r="D3" s="2" t="s">
        <v>1</v>
      </c>
      <c r="E3" s="2" t="s">
        <v>2</v>
      </c>
    </row>
    <row r="4" spans="3:5" x14ac:dyDescent="0.3">
      <c r="C4" s="1" t="s">
        <v>3</v>
      </c>
      <c r="D4" s="1">
        <v>95</v>
      </c>
      <c r="E4" s="1" t="str">
        <f>IF(D4&gt;90,"A",IF(D4&gt;75,"B",IF(D4&gt;60,"C",IF(D4&gt;40,"D","Fail"))))</f>
        <v>A</v>
      </c>
    </row>
    <row r="5" spans="3:5" x14ac:dyDescent="0.3">
      <c r="C5" s="1" t="s">
        <v>4</v>
      </c>
      <c r="D5" s="1">
        <v>82</v>
      </c>
      <c r="E5" s="1" t="str">
        <f t="shared" ref="E5:E10" si="0">IF(D5&gt;90,"A",IF(D5&gt;75,"B",IF(D5&gt;60,"C",IF(D5&gt;40,"D","Fail"))))</f>
        <v>B</v>
      </c>
    </row>
    <row r="6" spans="3:5" x14ac:dyDescent="0.3">
      <c r="C6" s="1" t="s">
        <v>5</v>
      </c>
      <c r="D6" s="1">
        <v>74</v>
      </c>
      <c r="E6" s="1" t="str">
        <f t="shared" si="0"/>
        <v>C</v>
      </c>
    </row>
    <row r="7" spans="3:5" x14ac:dyDescent="0.3">
      <c r="C7" s="1" t="s">
        <v>6</v>
      </c>
      <c r="D7" s="1">
        <v>65</v>
      </c>
      <c r="E7" s="1" t="str">
        <f t="shared" si="0"/>
        <v>C</v>
      </c>
    </row>
    <row r="8" spans="3:5" x14ac:dyDescent="0.3">
      <c r="C8" s="1" t="s">
        <v>7</v>
      </c>
      <c r="D8" s="1">
        <v>52</v>
      </c>
      <c r="E8" s="1" t="str">
        <f t="shared" si="0"/>
        <v>D</v>
      </c>
    </row>
    <row r="9" spans="3:5" x14ac:dyDescent="0.3">
      <c r="C9" s="1" t="s">
        <v>8</v>
      </c>
      <c r="D9" s="1">
        <v>43</v>
      </c>
      <c r="E9" s="1" t="str">
        <f t="shared" si="0"/>
        <v>D</v>
      </c>
    </row>
    <row r="10" spans="3:5" x14ac:dyDescent="0.3">
      <c r="C10" s="1" t="s">
        <v>9</v>
      </c>
      <c r="D10" s="1">
        <v>31</v>
      </c>
      <c r="E10" s="1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D81E-31AC-44F9-B895-AAF8E1467564}">
  <dimension ref="C3:G13"/>
  <sheetViews>
    <sheetView workbookViewId="0">
      <selection activeCell="G9" sqref="G9"/>
    </sheetView>
  </sheetViews>
  <sheetFormatPr defaultRowHeight="14.4" x14ac:dyDescent="0.3"/>
  <cols>
    <col min="3" max="3" width="8" bestFit="1" customWidth="1"/>
    <col min="4" max="4" width="14.6640625" bestFit="1" customWidth="1"/>
    <col min="5" max="5" width="9.5546875" bestFit="1" customWidth="1"/>
    <col min="6" max="6" width="15.44140625" bestFit="1" customWidth="1"/>
    <col min="7" max="7" width="10.33203125" bestFit="1" customWidth="1"/>
  </cols>
  <sheetData>
    <row r="3" spans="3:7" x14ac:dyDescent="0.3"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3:7" x14ac:dyDescent="0.3">
      <c r="C4" s="1" t="s">
        <v>15</v>
      </c>
      <c r="D4" s="1" t="s">
        <v>3</v>
      </c>
      <c r="E4" s="1" t="s">
        <v>16</v>
      </c>
      <c r="F4" s="1">
        <v>650</v>
      </c>
      <c r="G4" s="1" t="str">
        <f>IF(F4&gt;=500,"High Value","Regular")</f>
        <v>High Value</v>
      </c>
    </row>
    <row r="5" spans="3:7" x14ac:dyDescent="0.3">
      <c r="C5" s="1" t="s">
        <v>17</v>
      </c>
      <c r="D5" s="1" t="s">
        <v>4</v>
      </c>
      <c r="E5" s="1" t="s">
        <v>18</v>
      </c>
      <c r="F5" s="1">
        <v>350</v>
      </c>
      <c r="G5" s="1" t="str">
        <f t="shared" ref="G5:G13" si="0">IF(F5&gt;=500,"High Value","Regular")</f>
        <v>Regular</v>
      </c>
    </row>
    <row r="6" spans="3:7" x14ac:dyDescent="0.3">
      <c r="C6" s="1" t="s">
        <v>19</v>
      </c>
      <c r="D6" s="1" t="s">
        <v>5</v>
      </c>
      <c r="E6" s="1" t="s">
        <v>20</v>
      </c>
      <c r="F6" s="1">
        <v>520</v>
      </c>
      <c r="G6" s="1" t="str">
        <f t="shared" si="0"/>
        <v>High Value</v>
      </c>
    </row>
    <row r="7" spans="3:7" x14ac:dyDescent="0.3">
      <c r="C7" s="1" t="s">
        <v>21</v>
      </c>
      <c r="D7" s="1" t="s">
        <v>6</v>
      </c>
      <c r="E7" s="1" t="s">
        <v>22</v>
      </c>
      <c r="F7" s="1">
        <v>280</v>
      </c>
      <c r="G7" s="1" t="str">
        <f t="shared" si="0"/>
        <v>Regular</v>
      </c>
    </row>
    <row r="8" spans="3:7" x14ac:dyDescent="0.3">
      <c r="C8" s="1" t="s">
        <v>23</v>
      </c>
      <c r="D8" s="1" t="s">
        <v>7</v>
      </c>
      <c r="E8" s="1" t="s">
        <v>24</v>
      </c>
      <c r="F8" s="1">
        <v>500</v>
      </c>
      <c r="G8" s="1" t="str">
        <f t="shared" si="0"/>
        <v>High Value</v>
      </c>
    </row>
    <row r="9" spans="3:7" x14ac:dyDescent="0.3">
      <c r="C9" s="1" t="s">
        <v>25</v>
      </c>
      <c r="D9" s="1" t="s">
        <v>8</v>
      </c>
      <c r="E9" s="1" t="s">
        <v>26</v>
      </c>
      <c r="F9" s="1">
        <v>450</v>
      </c>
      <c r="G9" s="1" t="str">
        <f t="shared" si="0"/>
        <v>Regular</v>
      </c>
    </row>
    <row r="10" spans="3:7" x14ac:dyDescent="0.3">
      <c r="C10" s="1" t="s">
        <v>27</v>
      </c>
      <c r="D10" s="1" t="s">
        <v>9</v>
      </c>
      <c r="E10" s="1" t="s">
        <v>16</v>
      </c>
      <c r="F10" s="1">
        <v>750</v>
      </c>
      <c r="G10" s="1" t="str">
        <f t="shared" si="0"/>
        <v>High Value</v>
      </c>
    </row>
    <row r="11" spans="3:7" x14ac:dyDescent="0.3">
      <c r="C11" s="1" t="s">
        <v>28</v>
      </c>
      <c r="D11" s="1" t="s">
        <v>29</v>
      </c>
      <c r="E11" s="1" t="s">
        <v>18</v>
      </c>
      <c r="F11" s="1">
        <v>320</v>
      </c>
      <c r="G11" s="1" t="str">
        <f t="shared" si="0"/>
        <v>Regular</v>
      </c>
    </row>
    <row r="12" spans="3:7" x14ac:dyDescent="0.3">
      <c r="C12" s="1" t="s">
        <v>30</v>
      </c>
      <c r="D12" s="1" t="s">
        <v>31</v>
      </c>
      <c r="E12" s="1" t="s">
        <v>20</v>
      </c>
      <c r="F12" s="1">
        <v>600</v>
      </c>
      <c r="G12" s="1" t="str">
        <f t="shared" si="0"/>
        <v>High Value</v>
      </c>
    </row>
    <row r="13" spans="3:7" x14ac:dyDescent="0.3">
      <c r="C13" s="1" t="s">
        <v>32</v>
      </c>
      <c r="D13" s="1" t="s">
        <v>33</v>
      </c>
      <c r="E13" s="1" t="s">
        <v>34</v>
      </c>
      <c r="F13" s="1">
        <v>250</v>
      </c>
      <c r="G13" s="1" t="str">
        <f t="shared" si="0"/>
        <v>Regular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3623-B8EF-4163-8A77-497CF45661E4}">
  <dimension ref="C3:E13"/>
  <sheetViews>
    <sheetView workbookViewId="0">
      <selection activeCell="E5" sqref="E5"/>
    </sheetView>
  </sheetViews>
  <sheetFormatPr defaultRowHeight="14.4" x14ac:dyDescent="0.3"/>
  <cols>
    <col min="3" max="3" width="11.6640625" bestFit="1" customWidth="1"/>
    <col min="4" max="4" width="9.77734375" bestFit="1" customWidth="1"/>
    <col min="5" max="5" width="8" bestFit="1" customWidth="1"/>
  </cols>
  <sheetData>
    <row r="3" spans="3:5" x14ac:dyDescent="0.3">
      <c r="C3" s="2" t="s">
        <v>35</v>
      </c>
      <c r="D3" s="2" t="s">
        <v>36</v>
      </c>
      <c r="E3" s="2" t="s">
        <v>37</v>
      </c>
    </row>
    <row r="4" spans="3:5" x14ac:dyDescent="0.3">
      <c r="C4" s="1" t="s">
        <v>38</v>
      </c>
      <c r="D4" s="1">
        <v>1250</v>
      </c>
      <c r="E4" s="1" t="str">
        <f>IF(D4&gt;=1000,"Star",IF(D4&gt;700,"Pro",IF(D4&gt;400,"Rising","Newbie")))</f>
        <v>Star</v>
      </c>
    </row>
    <row r="5" spans="3:5" x14ac:dyDescent="0.3">
      <c r="C5" s="1" t="s">
        <v>39</v>
      </c>
      <c r="D5" s="1">
        <v>980</v>
      </c>
      <c r="E5" s="1" t="str">
        <f t="shared" ref="E5:E13" si="0">IF(D5&gt;=1000,"Star",IF(D5&gt;700,"Pro",IF(D5&gt;400,"Rising","Newbie")))</f>
        <v>Pro</v>
      </c>
    </row>
    <row r="6" spans="3:5" x14ac:dyDescent="0.3">
      <c r="C6" s="1" t="s">
        <v>3</v>
      </c>
      <c r="D6" s="1">
        <v>750</v>
      </c>
      <c r="E6" s="1" t="str">
        <f t="shared" si="0"/>
        <v>Pro</v>
      </c>
    </row>
    <row r="7" spans="3:5" x14ac:dyDescent="0.3">
      <c r="C7" s="1" t="s">
        <v>40</v>
      </c>
      <c r="D7" s="1">
        <v>680</v>
      </c>
      <c r="E7" s="1" t="str">
        <f t="shared" si="0"/>
        <v>Rising</v>
      </c>
    </row>
    <row r="8" spans="3:5" x14ac:dyDescent="0.3">
      <c r="C8" s="1" t="s">
        <v>41</v>
      </c>
      <c r="D8" s="1">
        <v>520</v>
      </c>
      <c r="E8" s="1" t="str">
        <f t="shared" si="0"/>
        <v>Rising</v>
      </c>
    </row>
    <row r="9" spans="3:5" x14ac:dyDescent="0.3">
      <c r="C9" s="1" t="s">
        <v>42</v>
      </c>
      <c r="D9" s="1">
        <v>410</v>
      </c>
      <c r="E9" s="1" t="str">
        <f t="shared" si="0"/>
        <v>Rising</v>
      </c>
    </row>
    <row r="10" spans="3:5" x14ac:dyDescent="0.3">
      <c r="C10" s="1" t="s">
        <v>43</v>
      </c>
      <c r="D10" s="1">
        <v>350</v>
      </c>
      <c r="E10" s="1" t="str">
        <f t="shared" si="0"/>
        <v>Newbie</v>
      </c>
    </row>
    <row r="11" spans="3:5" x14ac:dyDescent="0.3">
      <c r="C11" s="1" t="s">
        <v>44</v>
      </c>
      <c r="D11" s="1">
        <v>290</v>
      </c>
      <c r="E11" s="1" t="str">
        <f t="shared" si="0"/>
        <v>Newbie</v>
      </c>
    </row>
    <row r="12" spans="3:5" x14ac:dyDescent="0.3">
      <c r="C12" s="1" t="s">
        <v>45</v>
      </c>
      <c r="D12" s="1">
        <v>1050</v>
      </c>
      <c r="E12" s="1" t="str">
        <f t="shared" si="0"/>
        <v>Star</v>
      </c>
    </row>
    <row r="13" spans="3:5" x14ac:dyDescent="0.3">
      <c r="C13" s="1" t="s">
        <v>46</v>
      </c>
      <c r="D13" s="1">
        <v>720</v>
      </c>
      <c r="E13" s="1" t="str">
        <f t="shared" si="0"/>
        <v>Pro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0173-4474-4E4F-9F59-3D925D9F0911}">
  <dimension ref="C3:G13"/>
  <sheetViews>
    <sheetView workbookViewId="0">
      <selection activeCell="F4" sqref="F4"/>
    </sheetView>
  </sheetViews>
  <sheetFormatPr defaultRowHeight="14.4" x14ac:dyDescent="0.3"/>
  <cols>
    <col min="3" max="3" width="8" bestFit="1" customWidth="1"/>
    <col min="4" max="4" width="14.6640625" bestFit="1" customWidth="1"/>
    <col min="5" max="5" width="15.88671875" bestFit="1" customWidth="1"/>
    <col min="6" max="6" width="11.44140625" bestFit="1" customWidth="1"/>
    <col min="7" max="7" width="10.21875" bestFit="1" customWidth="1"/>
  </cols>
  <sheetData>
    <row r="3" spans="3:7" x14ac:dyDescent="0.3">
      <c r="C3" s="2" t="s">
        <v>10</v>
      </c>
      <c r="D3" s="2" t="s">
        <v>11</v>
      </c>
      <c r="E3" s="2" t="s">
        <v>47</v>
      </c>
      <c r="F3" s="2" t="s">
        <v>48</v>
      </c>
      <c r="G3" s="2" t="s">
        <v>49</v>
      </c>
    </row>
    <row r="4" spans="3:7" x14ac:dyDescent="0.3">
      <c r="C4" s="1" t="s">
        <v>50</v>
      </c>
      <c r="D4" s="1" t="s">
        <v>3</v>
      </c>
      <c r="E4" s="1" t="s">
        <v>51</v>
      </c>
      <c r="F4" s="1" t="s">
        <v>52</v>
      </c>
      <c r="G4" s="1" t="str">
        <f>IF(AND(E4="Prepaid",F4="Delivered"),"Eligible","Not Eligible")</f>
        <v>Eligible</v>
      </c>
    </row>
    <row r="5" spans="3:7" x14ac:dyDescent="0.3">
      <c r="C5" s="1" t="s">
        <v>53</v>
      </c>
      <c r="D5" s="1" t="s">
        <v>4</v>
      </c>
      <c r="E5" s="1" t="s">
        <v>54</v>
      </c>
      <c r="F5" s="1" t="s">
        <v>52</v>
      </c>
      <c r="G5" s="1" t="str">
        <f t="shared" ref="G5:G13" si="0">IF(AND(E5="Prepaid",F5="Delivered"),"Eligible","Not Eligible")</f>
        <v>Not Eligible</v>
      </c>
    </row>
    <row r="6" spans="3:7" x14ac:dyDescent="0.3">
      <c r="C6" s="1" t="s">
        <v>55</v>
      </c>
      <c r="D6" s="1" t="s">
        <v>5</v>
      </c>
      <c r="E6" s="1" t="s">
        <v>51</v>
      </c>
      <c r="F6" s="1" t="s">
        <v>56</v>
      </c>
      <c r="G6" s="1" t="str">
        <f t="shared" si="0"/>
        <v>Not Eligible</v>
      </c>
    </row>
    <row r="7" spans="3:7" x14ac:dyDescent="0.3">
      <c r="C7" s="1" t="s">
        <v>57</v>
      </c>
      <c r="D7" s="1" t="s">
        <v>6</v>
      </c>
      <c r="E7" s="1" t="s">
        <v>51</v>
      </c>
      <c r="F7" s="1" t="s">
        <v>52</v>
      </c>
      <c r="G7" s="1" t="str">
        <f t="shared" si="0"/>
        <v>Eligible</v>
      </c>
    </row>
    <row r="8" spans="3:7" x14ac:dyDescent="0.3">
      <c r="C8" s="1" t="s">
        <v>58</v>
      </c>
      <c r="D8" s="1" t="s">
        <v>7</v>
      </c>
      <c r="E8" s="1" t="s">
        <v>54</v>
      </c>
      <c r="F8" s="1" t="s">
        <v>52</v>
      </c>
      <c r="G8" s="1" t="str">
        <f t="shared" si="0"/>
        <v>Not Eligible</v>
      </c>
    </row>
    <row r="9" spans="3:7" x14ac:dyDescent="0.3">
      <c r="C9" s="1" t="s">
        <v>59</v>
      </c>
      <c r="D9" s="1" t="s">
        <v>8</v>
      </c>
      <c r="E9" s="1" t="s">
        <v>51</v>
      </c>
      <c r="F9" s="1" t="s">
        <v>60</v>
      </c>
      <c r="G9" s="1" t="str">
        <f t="shared" si="0"/>
        <v>Not Eligible</v>
      </c>
    </row>
    <row r="10" spans="3:7" x14ac:dyDescent="0.3">
      <c r="C10" s="1" t="s">
        <v>61</v>
      </c>
      <c r="D10" s="1" t="s">
        <v>9</v>
      </c>
      <c r="E10" s="1" t="s">
        <v>51</v>
      </c>
      <c r="F10" s="1" t="s">
        <v>52</v>
      </c>
      <c r="G10" s="1" t="str">
        <f t="shared" si="0"/>
        <v>Eligible</v>
      </c>
    </row>
    <row r="11" spans="3:7" x14ac:dyDescent="0.3">
      <c r="C11" s="1" t="s">
        <v>62</v>
      </c>
      <c r="D11" s="1" t="s">
        <v>29</v>
      </c>
      <c r="E11" s="1" t="s">
        <v>54</v>
      </c>
      <c r="F11" s="1" t="s">
        <v>56</v>
      </c>
      <c r="G11" s="1" t="str">
        <f t="shared" si="0"/>
        <v>Not Eligible</v>
      </c>
    </row>
    <row r="12" spans="3:7" x14ac:dyDescent="0.3">
      <c r="C12" s="1" t="s">
        <v>63</v>
      </c>
      <c r="D12" s="1" t="s">
        <v>31</v>
      </c>
      <c r="E12" s="1" t="s">
        <v>51</v>
      </c>
      <c r="F12" s="1" t="s">
        <v>52</v>
      </c>
      <c r="G12" s="1" t="str">
        <f t="shared" si="0"/>
        <v>Eligible</v>
      </c>
    </row>
    <row r="13" spans="3:7" x14ac:dyDescent="0.3">
      <c r="C13" s="1" t="s">
        <v>64</v>
      </c>
      <c r="D13" s="1" t="s">
        <v>33</v>
      </c>
      <c r="E13" s="1" t="s">
        <v>51</v>
      </c>
      <c r="F13" s="1" t="s">
        <v>56</v>
      </c>
      <c r="G13" s="1" t="str">
        <f t="shared" si="0"/>
        <v>Not Eligible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2D26-FF4F-4CE9-B262-62A167DFA71C}">
  <dimension ref="C3:G13"/>
  <sheetViews>
    <sheetView workbookViewId="0">
      <selection activeCell="G5" sqref="G5"/>
    </sheetView>
  </sheetViews>
  <sheetFormatPr defaultRowHeight="14.4" x14ac:dyDescent="0.3"/>
  <cols>
    <col min="3" max="3" width="12.6640625" bestFit="1" customWidth="1"/>
    <col min="4" max="4" width="14.6640625" bestFit="1" customWidth="1"/>
    <col min="5" max="5" width="12.88671875" bestFit="1" customWidth="1"/>
    <col min="6" max="6" width="10.109375" customWidth="1"/>
    <col min="7" max="7" width="13.109375" bestFit="1" customWidth="1"/>
  </cols>
  <sheetData>
    <row r="3" spans="3:7" x14ac:dyDescent="0.3">
      <c r="C3" s="2" t="s">
        <v>65</v>
      </c>
      <c r="D3" s="2" t="s">
        <v>66</v>
      </c>
      <c r="E3" s="2" t="s">
        <v>67</v>
      </c>
      <c r="F3" s="2" t="s">
        <v>68</v>
      </c>
      <c r="G3" s="2" t="s">
        <v>69</v>
      </c>
    </row>
    <row r="4" spans="3:7" x14ac:dyDescent="0.3">
      <c r="C4" s="1" t="s">
        <v>70</v>
      </c>
      <c r="D4" s="1" t="s">
        <v>71</v>
      </c>
      <c r="E4" s="1" t="b">
        <v>1</v>
      </c>
      <c r="F4" s="1" t="b">
        <v>0</v>
      </c>
      <c r="G4" s="1" t="str">
        <f>IF(OR(E4=TRUE,F4=TRUE),"Quick Access","Normal Access")</f>
        <v>Quick Access</v>
      </c>
    </row>
    <row r="5" spans="3:7" x14ac:dyDescent="0.3">
      <c r="C5" s="1" t="s">
        <v>72</v>
      </c>
      <c r="D5" s="1" t="s">
        <v>73</v>
      </c>
      <c r="E5" s="1" t="b">
        <v>0</v>
      </c>
      <c r="F5" s="1" t="b">
        <v>1</v>
      </c>
      <c r="G5" s="1" t="str">
        <f t="shared" ref="G5:G13" si="0">IF(OR(E5=TRUE,F5=TRUE),"Quick Access","Normal Access")</f>
        <v>Quick Access</v>
      </c>
    </row>
    <row r="6" spans="3:7" x14ac:dyDescent="0.3">
      <c r="C6" s="1" t="s">
        <v>74</v>
      </c>
      <c r="D6" s="1" t="s">
        <v>71</v>
      </c>
      <c r="E6" s="1" t="b">
        <v>1</v>
      </c>
      <c r="F6" s="1" t="b">
        <v>1</v>
      </c>
      <c r="G6" s="1" t="str">
        <f t="shared" si="0"/>
        <v>Quick Access</v>
      </c>
    </row>
    <row r="7" spans="3:7" x14ac:dyDescent="0.3">
      <c r="C7" s="1" t="s">
        <v>75</v>
      </c>
      <c r="D7" s="1" t="s">
        <v>76</v>
      </c>
      <c r="E7" s="1" t="b">
        <v>0</v>
      </c>
      <c r="F7" s="1" t="b">
        <v>0</v>
      </c>
      <c r="G7" s="1" t="str">
        <f t="shared" si="0"/>
        <v>Normal Access</v>
      </c>
    </row>
    <row r="8" spans="3:7" x14ac:dyDescent="0.3">
      <c r="C8" s="1" t="s">
        <v>77</v>
      </c>
      <c r="D8" s="1" t="s">
        <v>78</v>
      </c>
      <c r="E8" s="1" t="b">
        <v>1</v>
      </c>
      <c r="F8" s="1" t="b">
        <v>0</v>
      </c>
      <c r="G8" s="1" t="str">
        <f t="shared" si="0"/>
        <v>Quick Access</v>
      </c>
    </row>
    <row r="9" spans="3:7" x14ac:dyDescent="0.3">
      <c r="C9" s="1" t="s">
        <v>79</v>
      </c>
      <c r="D9" s="1" t="s">
        <v>80</v>
      </c>
      <c r="E9" s="1" t="b">
        <v>0</v>
      </c>
      <c r="F9" s="1" t="b">
        <v>0</v>
      </c>
      <c r="G9" s="1" t="str">
        <f t="shared" si="0"/>
        <v>Normal Access</v>
      </c>
    </row>
    <row r="10" spans="3:7" x14ac:dyDescent="0.3">
      <c r="C10" s="1" t="s">
        <v>81</v>
      </c>
      <c r="D10" s="1" t="s">
        <v>82</v>
      </c>
      <c r="E10" s="1" t="b">
        <v>0</v>
      </c>
      <c r="F10" s="1" t="b">
        <v>1</v>
      </c>
      <c r="G10" s="1" t="str">
        <f t="shared" si="0"/>
        <v>Quick Access</v>
      </c>
    </row>
    <row r="11" spans="3:7" x14ac:dyDescent="0.3">
      <c r="C11" s="1" t="s">
        <v>83</v>
      </c>
      <c r="D11" s="1" t="s">
        <v>84</v>
      </c>
      <c r="E11" s="1" t="b">
        <v>1</v>
      </c>
      <c r="F11" s="1" t="b">
        <v>0</v>
      </c>
      <c r="G11" s="1" t="str">
        <f t="shared" si="0"/>
        <v>Quick Access</v>
      </c>
    </row>
    <row r="12" spans="3:7" x14ac:dyDescent="0.3">
      <c r="C12" s="1" t="s">
        <v>85</v>
      </c>
      <c r="D12" s="1" t="s">
        <v>86</v>
      </c>
      <c r="E12" s="1" t="b">
        <v>0</v>
      </c>
      <c r="F12" s="1" t="b">
        <v>0</v>
      </c>
      <c r="G12" s="1" t="str">
        <f t="shared" si="0"/>
        <v>Normal Access</v>
      </c>
    </row>
    <row r="13" spans="3:7" x14ac:dyDescent="0.3">
      <c r="C13" s="1" t="s">
        <v>87</v>
      </c>
      <c r="D13" s="1" t="s">
        <v>88</v>
      </c>
      <c r="E13" s="1" t="b">
        <v>1</v>
      </c>
      <c r="F13" s="1" t="b">
        <v>1</v>
      </c>
      <c r="G13" s="1" t="str">
        <f t="shared" si="0"/>
        <v>Quick Access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5B77-6954-4FA1-A9BA-B1533497C832}">
  <dimension ref="C3:G13"/>
  <sheetViews>
    <sheetView workbookViewId="0">
      <selection activeCell="G5" sqref="G5"/>
    </sheetView>
  </sheetViews>
  <sheetFormatPr defaultRowHeight="14.4" x14ac:dyDescent="0.3"/>
  <cols>
    <col min="3" max="3" width="8" bestFit="1" customWidth="1"/>
    <col min="4" max="4" width="14.6640625" bestFit="1" customWidth="1"/>
    <col min="5" max="5" width="11.88671875" bestFit="1" customWidth="1"/>
    <col min="6" max="6" width="15.88671875" bestFit="1" customWidth="1"/>
    <col min="7" max="7" width="11.44140625" bestFit="1" customWidth="1"/>
  </cols>
  <sheetData>
    <row r="3" spans="3:7" x14ac:dyDescent="0.3">
      <c r="C3" s="2" t="s">
        <v>10</v>
      </c>
      <c r="D3" s="2" t="s">
        <v>11</v>
      </c>
      <c r="E3" s="2" t="s">
        <v>89</v>
      </c>
      <c r="F3" s="2" t="s">
        <v>47</v>
      </c>
      <c r="G3" s="2" t="s">
        <v>48</v>
      </c>
    </row>
    <row r="4" spans="3:7" x14ac:dyDescent="0.3">
      <c r="C4" s="1" t="s">
        <v>90</v>
      </c>
      <c r="D4" s="1" t="s">
        <v>3</v>
      </c>
      <c r="E4" s="1" t="b">
        <v>1</v>
      </c>
      <c r="F4" s="1" t="s">
        <v>91</v>
      </c>
      <c r="G4" s="1" t="str">
        <f>IF(_xlfn.XOR(E4=TRUE,F4="Cash"),"Suspicious","Normal")</f>
        <v>Suspicious</v>
      </c>
    </row>
    <row r="5" spans="3:7" x14ac:dyDescent="0.3">
      <c r="C5" s="1" t="s">
        <v>92</v>
      </c>
      <c r="D5" s="1" t="s">
        <v>4</v>
      </c>
      <c r="E5" s="1" t="b">
        <v>0</v>
      </c>
      <c r="F5" s="1" t="s">
        <v>93</v>
      </c>
      <c r="G5" s="1" t="str">
        <f t="shared" ref="G5:G13" si="0">IF(_xlfn.XOR(E5=TRUE,F5="Cash"),"Suspicious","Normal")</f>
        <v>Suspicious</v>
      </c>
    </row>
    <row r="6" spans="3:7" x14ac:dyDescent="0.3">
      <c r="C6" s="1" t="s">
        <v>94</v>
      </c>
      <c r="D6" s="1" t="s">
        <v>5</v>
      </c>
      <c r="E6" s="1" t="b">
        <v>1</v>
      </c>
      <c r="F6" s="1" t="s">
        <v>93</v>
      </c>
      <c r="G6" s="1" t="str">
        <f t="shared" si="0"/>
        <v>Normal</v>
      </c>
    </row>
    <row r="7" spans="3:7" x14ac:dyDescent="0.3">
      <c r="C7" s="1" t="s">
        <v>95</v>
      </c>
      <c r="D7" s="1" t="s">
        <v>6</v>
      </c>
      <c r="E7" s="1" t="b">
        <v>0</v>
      </c>
      <c r="F7" s="1" t="s">
        <v>91</v>
      </c>
      <c r="G7" s="1" t="str">
        <f t="shared" si="0"/>
        <v>Normal</v>
      </c>
    </row>
    <row r="8" spans="3:7" x14ac:dyDescent="0.3">
      <c r="C8" s="1" t="s">
        <v>96</v>
      </c>
      <c r="D8" s="1" t="s">
        <v>7</v>
      </c>
      <c r="E8" s="1" t="b">
        <v>1</v>
      </c>
      <c r="F8" s="1" t="s">
        <v>91</v>
      </c>
      <c r="G8" s="1" t="str">
        <f t="shared" si="0"/>
        <v>Suspicious</v>
      </c>
    </row>
    <row r="9" spans="3:7" x14ac:dyDescent="0.3">
      <c r="C9" s="1" t="s">
        <v>97</v>
      </c>
      <c r="D9" s="1" t="s">
        <v>8</v>
      </c>
      <c r="E9" s="1" t="b">
        <v>0</v>
      </c>
      <c r="F9" s="1" t="s">
        <v>93</v>
      </c>
      <c r="G9" s="1" t="str">
        <f t="shared" si="0"/>
        <v>Suspicious</v>
      </c>
    </row>
    <row r="10" spans="3:7" x14ac:dyDescent="0.3">
      <c r="C10" s="1" t="s">
        <v>98</v>
      </c>
      <c r="D10" s="1" t="s">
        <v>9</v>
      </c>
      <c r="E10" s="1" t="b">
        <v>1</v>
      </c>
      <c r="F10" s="1" t="s">
        <v>93</v>
      </c>
      <c r="G10" s="1" t="str">
        <f t="shared" si="0"/>
        <v>Normal</v>
      </c>
    </row>
    <row r="11" spans="3:7" x14ac:dyDescent="0.3">
      <c r="C11" s="1" t="s">
        <v>99</v>
      </c>
      <c r="D11" s="1" t="s">
        <v>29</v>
      </c>
      <c r="E11" s="1" t="b">
        <v>0</v>
      </c>
      <c r="F11" s="1" t="s">
        <v>91</v>
      </c>
      <c r="G11" s="1" t="str">
        <f t="shared" si="0"/>
        <v>Normal</v>
      </c>
    </row>
    <row r="12" spans="3:7" x14ac:dyDescent="0.3">
      <c r="C12" s="1" t="s">
        <v>100</v>
      </c>
      <c r="D12" s="1" t="s">
        <v>31</v>
      </c>
      <c r="E12" s="1" t="b">
        <v>1</v>
      </c>
      <c r="F12" s="1" t="s">
        <v>91</v>
      </c>
      <c r="G12" s="1" t="str">
        <f t="shared" si="0"/>
        <v>Suspicious</v>
      </c>
    </row>
    <row r="13" spans="3:7" x14ac:dyDescent="0.3">
      <c r="C13" s="1" t="s">
        <v>101</v>
      </c>
      <c r="D13" s="1" t="s">
        <v>33</v>
      </c>
      <c r="E13" s="1" t="b">
        <v>0</v>
      </c>
      <c r="F13" s="1" t="s">
        <v>93</v>
      </c>
      <c r="G13" s="1" t="str">
        <f t="shared" si="0"/>
        <v>Suspicious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Demo</vt:lpstr>
      <vt:lpstr>Tasks_01</vt:lpstr>
      <vt:lpstr>Tasks_02</vt:lpstr>
      <vt:lpstr>Tasks_03</vt:lpstr>
      <vt:lpstr>Tasks_04</vt:lpstr>
      <vt:lpstr>Tasks_05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2026-09-21T08:43:33Z</dcterms:created>
  <dcterms:modified xsi:type="dcterms:W3CDTF">2026-09-21T09:17:42Z</dcterms:modified>
</cp:coreProperties>
</file>