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A:\Data Analytics\Excel\Assign &amp; Asses\ASSIGNMENT\SESSION_21\"/>
    </mc:Choice>
  </mc:AlternateContent>
  <xr:revisionPtr revIDLastSave="0" documentId="13_ncr:1_{B2958376-0575-4934-9966-9DF4E1E2DBF9}" xr6:coauthVersionLast="47" xr6:coauthVersionMax="47" xr10:uidLastSave="{00000000-0000-0000-0000-000000000000}"/>
  <bookViews>
    <workbookView xWindow="-108" yWindow="-108" windowWidth="23256" windowHeight="12576" activeTab="5" xr2:uid="{D8D24A81-6736-4648-8977-E0E2C1751DEC}"/>
  </bookViews>
  <sheets>
    <sheet name="ORDER_DATA" sheetId="1" r:id="rId1"/>
    <sheet name="Restaurant_Details" sheetId="2" r:id="rId2"/>
    <sheet name="ORDER_DATA (Copy)" sheetId="3" r:id="rId3"/>
    <sheet name="Pivot_Summary" sheetId="4" r:id="rId4"/>
    <sheet name="TopRestaurant" sheetId="7" r:id="rId5"/>
    <sheet name="DASHBOARD" sheetId="6" r:id="rId6"/>
  </sheets>
  <definedNames>
    <definedName name="Slicer_City">#N/A</definedName>
  </definedNames>
  <calcPr calcId="191029"/>
  <pivotCaches>
    <pivotCache cacheId="4"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S4" i="6" l="1"/>
  <c r="G4" i="6"/>
  <c r="N4" i="6"/>
  <c r="A4" i="6"/>
  <c r="H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D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alcChain>
</file>

<file path=xl/sharedStrings.xml><?xml version="1.0" encoding="utf-8"?>
<sst xmlns="http://schemas.openxmlformats.org/spreadsheetml/2006/main" count="2765" uniqueCount="540">
  <si>
    <t>Order ID</t>
  </si>
  <si>
    <t>Customer ID</t>
  </si>
  <si>
    <t>Restaurant ID</t>
  </si>
  <si>
    <t>City</t>
  </si>
  <si>
    <t>Order Date</t>
  </si>
  <si>
    <t>Delivery Date</t>
  </si>
  <si>
    <t>Delivery Partner</t>
  </si>
  <si>
    <t>Delivery Time (Min)</t>
  </si>
  <si>
    <t>Delivery Charge</t>
  </si>
  <si>
    <t>Order Amount</t>
  </si>
  <si>
    <t>Order Status</t>
  </si>
  <si>
    <t>Rating</t>
  </si>
  <si>
    <t>O1001</t>
  </si>
  <si>
    <t>C1001</t>
  </si>
  <si>
    <t>R001</t>
  </si>
  <si>
    <t>Ahmedabad</t>
  </si>
  <si>
    <t>Ravi</t>
  </si>
  <si>
    <t>Delivered</t>
  </si>
  <si>
    <t>O1002</t>
  </si>
  <si>
    <t>C1002</t>
  </si>
  <si>
    <t>R002</t>
  </si>
  <si>
    <t>Surat</t>
  </si>
  <si>
    <t>Mehul</t>
  </si>
  <si>
    <t>O1003</t>
  </si>
  <si>
    <t>C1003</t>
  </si>
  <si>
    <t>R003</t>
  </si>
  <si>
    <t>Rajkot</t>
  </si>
  <si>
    <t>Jay</t>
  </si>
  <si>
    <t>O1004</t>
  </si>
  <si>
    <t>C1004</t>
  </si>
  <si>
    <t>R004</t>
  </si>
  <si>
    <t>Vadodara</t>
  </si>
  <si>
    <t>Aman</t>
  </si>
  <si>
    <t>O1005</t>
  </si>
  <si>
    <t>C1005</t>
  </si>
  <si>
    <t>R005</t>
  </si>
  <si>
    <t>Mumbai</t>
  </si>
  <si>
    <t>Raj</t>
  </si>
  <si>
    <t>O1006</t>
  </si>
  <si>
    <t>C1006</t>
  </si>
  <si>
    <t>R006</t>
  </si>
  <si>
    <t>Pune</t>
  </si>
  <si>
    <t>Priya</t>
  </si>
  <si>
    <t>O1007</t>
  </si>
  <si>
    <t>C1007</t>
  </si>
  <si>
    <t>R007</t>
  </si>
  <si>
    <t>Karan</t>
  </si>
  <si>
    <t>O1008</t>
  </si>
  <si>
    <t>C1008</t>
  </si>
  <si>
    <t>R008</t>
  </si>
  <si>
    <t>O1009</t>
  </si>
  <si>
    <t>C1009</t>
  </si>
  <si>
    <t>R009</t>
  </si>
  <si>
    <t>O1010</t>
  </si>
  <si>
    <t>C1010</t>
  </si>
  <si>
    <t>R010</t>
  </si>
  <si>
    <t>Neha</t>
  </si>
  <si>
    <t>O1011</t>
  </si>
  <si>
    <t>C1011</t>
  </si>
  <si>
    <t>R011</t>
  </si>
  <si>
    <t>O1012</t>
  </si>
  <si>
    <t>C1012</t>
  </si>
  <si>
    <t>R012</t>
  </si>
  <si>
    <t>O1013</t>
  </si>
  <si>
    <t>C1013</t>
  </si>
  <si>
    <t>R013</t>
  </si>
  <si>
    <t>13-08-2026</t>
  </si>
  <si>
    <t>O1014</t>
  </si>
  <si>
    <t>C1014</t>
  </si>
  <si>
    <t>R014</t>
  </si>
  <si>
    <t>14/08/2026</t>
  </si>
  <si>
    <t>O1015</t>
  </si>
  <si>
    <t>C1015</t>
  </si>
  <si>
    <t>R015</t>
  </si>
  <si>
    <t>15-08-2026</t>
  </si>
  <si>
    <t>Delayed</t>
  </si>
  <si>
    <t>O1016</t>
  </si>
  <si>
    <t>C1016</t>
  </si>
  <si>
    <t>R016</t>
  </si>
  <si>
    <t>16/08/2026</t>
  </si>
  <si>
    <t>O1017</t>
  </si>
  <si>
    <t>C1017</t>
  </si>
  <si>
    <t>R017</t>
  </si>
  <si>
    <t>17-08-2026</t>
  </si>
  <si>
    <t>O1018</t>
  </si>
  <si>
    <t>C1018</t>
  </si>
  <si>
    <t>R018</t>
  </si>
  <si>
    <t>18/08/2026</t>
  </si>
  <si>
    <t>O1019</t>
  </si>
  <si>
    <t>C1019</t>
  </si>
  <si>
    <t>R019</t>
  </si>
  <si>
    <t>19-08-2026</t>
  </si>
  <si>
    <t>O1020</t>
  </si>
  <si>
    <t>C1020</t>
  </si>
  <si>
    <t>R020</t>
  </si>
  <si>
    <t>20/08/2026</t>
  </si>
  <si>
    <t>O1021</t>
  </si>
  <si>
    <t>C1021</t>
  </si>
  <si>
    <t>21-08-2026</t>
  </si>
  <si>
    <t>O1022</t>
  </si>
  <si>
    <t>C1022</t>
  </si>
  <si>
    <t>22/08/2026</t>
  </si>
  <si>
    <t>O1023</t>
  </si>
  <si>
    <t>C1023</t>
  </si>
  <si>
    <t>23-08-2026</t>
  </si>
  <si>
    <t>O1024</t>
  </si>
  <si>
    <t>C1024</t>
  </si>
  <si>
    <t>24/08/2026</t>
  </si>
  <si>
    <t>O1025</t>
  </si>
  <si>
    <t>C1025</t>
  </si>
  <si>
    <t>25-08-2026</t>
  </si>
  <si>
    <t>O1026</t>
  </si>
  <si>
    <t>C1026</t>
  </si>
  <si>
    <t>26/08/2026</t>
  </si>
  <si>
    <t>O1027</t>
  </si>
  <si>
    <t>C1027</t>
  </si>
  <si>
    <t>27-08-2026</t>
  </si>
  <si>
    <t>O1028</t>
  </si>
  <si>
    <t>C1028</t>
  </si>
  <si>
    <t>28/08/2026</t>
  </si>
  <si>
    <t>O1029</t>
  </si>
  <si>
    <t>C1029</t>
  </si>
  <si>
    <t>29-08-2026</t>
  </si>
  <si>
    <t>O1030</t>
  </si>
  <si>
    <t>C1030</t>
  </si>
  <si>
    <t>30-08-2026</t>
  </si>
  <si>
    <t>O1031</t>
  </si>
  <si>
    <t>C1031</t>
  </si>
  <si>
    <t>31-08-2026</t>
  </si>
  <si>
    <t>O1032</t>
  </si>
  <si>
    <t>C1032</t>
  </si>
  <si>
    <t>O1033</t>
  </si>
  <si>
    <t>C1033</t>
  </si>
  <si>
    <t>O1034</t>
  </si>
  <si>
    <t>C1034</t>
  </si>
  <si>
    <t>O1035</t>
  </si>
  <si>
    <t>C1035</t>
  </si>
  <si>
    <t>O1036</t>
  </si>
  <si>
    <t>C1036</t>
  </si>
  <si>
    <t>O1037</t>
  </si>
  <si>
    <t>C1037</t>
  </si>
  <si>
    <t>O1038</t>
  </si>
  <si>
    <t>C1038</t>
  </si>
  <si>
    <t>O1039</t>
  </si>
  <si>
    <t>C1039</t>
  </si>
  <si>
    <t>O1040</t>
  </si>
  <si>
    <t>C1040</t>
  </si>
  <si>
    <t>O1041</t>
  </si>
  <si>
    <t>C1041</t>
  </si>
  <si>
    <t>O1042</t>
  </si>
  <si>
    <t>C1042</t>
  </si>
  <si>
    <t>O1043</t>
  </si>
  <si>
    <t>C1043</t>
  </si>
  <si>
    <t>O1044</t>
  </si>
  <si>
    <t>C1044</t>
  </si>
  <si>
    <t>13/09/2026</t>
  </si>
  <si>
    <t>O1045</t>
  </si>
  <si>
    <t>C1045</t>
  </si>
  <si>
    <t>14-09-2026</t>
  </si>
  <si>
    <t>O1046</t>
  </si>
  <si>
    <t>C1046</t>
  </si>
  <si>
    <t>15/09/2026</t>
  </si>
  <si>
    <t>O1047</t>
  </si>
  <si>
    <t>C1047</t>
  </si>
  <si>
    <t>16-09-2026</t>
  </si>
  <si>
    <t>O1048</t>
  </si>
  <si>
    <t>C1048</t>
  </si>
  <si>
    <t>17/09/2026</t>
  </si>
  <si>
    <t>O1049</t>
  </si>
  <si>
    <t>C1049</t>
  </si>
  <si>
    <t>18-09-2026</t>
  </si>
  <si>
    <t>O1050</t>
  </si>
  <si>
    <t>C1050</t>
  </si>
  <si>
    <t>19/09/2026</t>
  </si>
  <si>
    <t>O1051</t>
  </si>
  <si>
    <t>C1051</t>
  </si>
  <si>
    <t>20-09-2026</t>
  </si>
  <si>
    <t>O1052</t>
  </si>
  <si>
    <t>C1052</t>
  </si>
  <si>
    <t>21/09/2026</t>
  </si>
  <si>
    <t>O1053</t>
  </si>
  <si>
    <t>C1053</t>
  </si>
  <si>
    <t>22-09-2026</t>
  </si>
  <si>
    <t>O1054</t>
  </si>
  <si>
    <t>C1054</t>
  </si>
  <si>
    <t>23/09/2026</t>
  </si>
  <si>
    <t>O1055</t>
  </si>
  <si>
    <t>C1055</t>
  </si>
  <si>
    <t>24/09/2026</t>
  </si>
  <si>
    <t>O1056</t>
  </si>
  <si>
    <t>C1056</t>
  </si>
  <si>
    <t>25/09/2026</t>
  </si>
  <si>
    <t>O1057</t>
  </si>
  <si>
    <t>C1057</t>
  </si>
  <si>
    <t>26/09/2026</t>
  </si>
  <si>
    <t>O1058</t>
  </si>
  <si>
    <t>C1058</t>
  </si>
  <si>
    <t>27/09/2026</t>
  </si>
  <si>
    <t>O1059</t>
  </si>
  <si>
    <t>C1059</t>
  </si>
  <si>
    <t>28/09/2026</t>
  </si>
  <si>
    <t>O1060</t>
  </si>
  <si>
    <t>C1060</t>
  </si>
  <si>
    <t>29/09/2026</t>
  </si>
  <si>
    <t>O1061</t>
  </si>
  <si>
    <t>C1061</t>
  </si>
  <si>
    <t>30/09/2026</t>
  </si>
  <si>
    <t>O1062</t>
  </si>
  <si>
    <t>C1062</t>
  </si>
  <si>
    <t>O1063</t>
  </si>
  <si>
    <t>C1063</t>
  </si>
  <si>
    <t>O1064</t>
  </si>
  <si>
    <t>C1064</t>
  </si>
  <si>
    <t>O1065</t>
  </si>
  <si>
    <t>C1065</t>
  </si>
  <si>
    <t>O1066</t>
  </si>
  <si>
    <t>C1066</t>
  </si>
  <si>
    <t>O1067</t>
  </si>
  <si>
    <t>C1067</t>
  </si>
  <si>
    <t>O1068</t>
  </si>
  <si>
    <t>C1068</t>
  </si>
  <si>
    <t>O1069</t>
  </si>
  <si>
    <t>C1069</t>
  </si>
  <si>
    <t>O1070</t>
  </si>
  <si>
    <t>C1070</t>
  </si>
  <si>
    <t>O1071</t>
  </si>
  <si>
    <t>C1071</t>
  </si>
  <si>
    <t>O1072</t>
  </si>
  <si>
    <t>C1072</t>
  </si>
  <si>
    <t>O1073</t>
  </si>
  <si>
    <t>C1073</t>
  </si>
  <si>
    <t>O1074</t>
  </si>
  <si>
    <t>C1074</t>
  </si>
  <si>
    <t>13/10/2026</t>
  </si>
  <si>
    <t>O1075</t>
  </si>
  <si>
    <t>C1075</t>
  </si>
  <si>
    <t>14/10/2026</t>
  </si>
  <si>
    <t>O1076</t>
  </si>
  <si>
    <t>C1076</t>
  </si>
  <si>
    <t>15/10/2026</t>
  </si>
  <si>
    <t>O1077</t>
  </si>
  <si>
    <t>C1077</t>
  </si>
  <si>
    <t>16/10/2026</t>
  </si>
  <si>
    <t>O1078</t>
  </si>
  <si>
    <t>C1078</t>
  </si>
  <si>
    <t>17/10/2026</t>
  </si>
  <si>
    <t>O1079</t>
  </si>
  <si>
    <t>C1079</t>
  </si>
  <si>
    <t>18/10/2026</t>
  </si>
  <si>
    <t>O1080</t>
  </si>
  <si>
    <t>C1080</t>
  </si>
  <si>
    <t>19/10/2026</t>
  </si>
  <si>
    <t>O1081</t>
  </si>
  <si>
    <t>C1081</t>
  </si>
  <si>
    <t>20/10/2026</t>
  </si>
  <si>
    <t>O1082</t>
  </si>
  <si>
    <t>C1082</t>
  </si>
  <si>
    <t>21/10/2026</t>
  </si>
  <si>
    <t>O1083</t>
  </si>
  <si>
    <t>C1083</t>
  </si>
  <si>
    <t>22/10/2026</t>
  </si>
  <si>
    <t>O1084</t>
  </si>
  <si>
    <t>C1084</t>
  </si>
  <si>
    <t>23/10/2026</t>
  </si>
  <si>
    <t>O1085</t>
  </si>
  <si>
    <t>C1085</t>
  </si>
  <si>
    <t>24/10/2026</t>
  </si>
  <si>
    <t>O1086</t>
  </si>
  <si>
    <t>C1086</t>
  </si>
  <si>
    <t>25/10/2026</t>
  </si>
  <si>
    <t>O1087</t>
  </si>
  <si>
    <t>C1087</t>
  </si>
  <si>
    <t>26/10/2026</t>
  </si>
  <si>
    <t>O1088</t>
  </si>
  <si>
    <t>C1088</t>
  </si>
  <si>
    <t>27/10/2026</t>
  </si>
  <si>
    <t>O1089</t>
  </si>
  <si>
    <t>C1089</t>
  </si>
  <si>
    <t>28/10/2026</t>
  </si>
  <si>
    <t>O1090</t>
  </si>
  <si>
    <t>C1090</t>
  </si>
  <si>
    <t>29/10/2026</t>
  </si>
  <si>
    <t>O1091</t>
  </si>
  <si>
    <t>C1091</t>
  </si>
  <si>
    <t>30/10/2026</t>
  </si>
  <si>
    <t>O1092</t>
  </si>
  <si>
    <t>C1092</t>
  </si>
  <si>
    <t>31/10/2026</t>
  </si>
  <si>
    <t>O1093</t>
  </si>
  <si>
    <t>C1093</t>
  </si>
  <si>
    <t>O1094</t>
  </si>
  <si>
    <t>C1094</t>
  </si>
  <si>
    <t>O1095</t>
  </si>
  <si>
    <t>C1095</t>
  </si>
  <si>
    <t>O1096</t>
  </si>
  <si>
    <t>C1096</t>
  </si>
  <si>
    <t>O1097</t>
  </si>
  <si>
    <t>C1097</t>
  </si>
  <si>
    <t>O1098</t>
  </si>
  <si>
    <t>C1098</t>
  </si>
  <si>
    <t>O1099</t>
  </si>
  <si>
    <t>C1099</t>
  </si>
  <si>
    <t>O1100</t>
  </si>
  <si>
    <t>C1100</t>
  </si>
  <si>
    <t>O1101</t>
  </si>
  <si>
    <t>C1101</t>
  </si>
  <si>
    <t>O1102</t>
  </si>
  <si>
    <t>C1102</t>
  </si>
  <si>
    <t>O1103</t>
  </si>
  <si>
    <t>C1103</t>
  </si>
  <si>
    <t>O1104</t>
  </si>
  <si>
    <t>C1104</t>
  </si>
  <si>
    <t>O1105</t>
  </si>
  <si>
    <t>C1105</t>
  </si>
  <si>
    <t>13-11-2026</t>
  </si>
  <si>
    <t>O1106</t>
  </si>
  <si>
    <t>C1106</t>
  </si>
  <si>
    <t>14/11/2026</t>
  </si>
  <si>
    <t>O1107</t>
  </si>
  <si>
    <t>C1107</t>
  </si>
  <si>
    <t>15-11-2026</t>
  </si>
  <si>
    <t>O1108</t>
  </si>
  <si>
    <t>C1108</t>
  </si>
  <si>
    <t>16/11/2026</t>
  </si>
  <si>
    <t>O1109</t>
  </si>
  <si>
    <t>C1109</t>
  </si>
  <si>
    <t>17-11-2026</t>
  </si>
  <si>
    <t>O1110</t>
  </si>
  <si>
    <t>C1110</t>
  </si>
  <si>
    <t>18/11/2026</t>
  </si>
  <si>
    <t>O1111</t>
  </si>
  <si>
    <t>C1111</t>
  </si>
  <si>
    <t>19-11-2026</t>
  </si>
  <si>
    <t>O1112</t>
  </si>
  <si>
    <t>C1112</t>
  </si>
  <si>
    <t>20/11/2026</t>
  </si>
  <si>
    <t>O1113</t>
  </si>
  <si>
    <t>C1113</t>
  </si>
  <si>
    <t>21/11/2026</t>
  </si>
  <si>
    <t>O1114</t>
  </si>
  <si>
    <t>C1114</t>
  </si>
  <si>
    <t>22/11/2026</t>
  </si>
  <si>
    <t>O1115</t>
  </si>
  <si>
    <t>C1115</t>
  </si>
  <si>
    <t>23/11/2026</t>
  </si>
  <si>
    <t>O1116</t>
  </si>
  <si>
    <t>C1116</t>
  </si>
  <si>
    <t>24/11/2026</t>
  </si>
  <si>
    <t>O1117</t>
  </si>
  <si>
    <t>C1117</t>
  </si>
  <si>
    <t>25/11/2026</t>
  </si>
  <si>
    <t>O1118</t>
  </si>
  <si>
    <t>C1118</t>
  </si>
  <si>
    <t>26/11/2026</t>
  </si>
  <si>
    <t>O1119</t>
  </si>
  <si>
    <t>C1119</t>
  </si>
  <si>
    <t>27/11/2026</t>
  </si>
  <si>
    <t>O1120</t>
  </si>
  <si>
    <t>C1120</t>
  </si>
  <si>
    <t>28/11/2026</t>
  </si>
  <si>
    <t>O1121</t>
  </si>
  <si>
    <t>29/11/2026</t>
  </si>
  <si>
    <t>O1122</t>
  </si>
  <si>
    <t>30/11/2026</t>
  </si>
  <si>
    <t>O1123</t>
  </si>
  <si>
    <t>O1124</t>
  </si>
  <si>
    <t>O1125</t>
  </si>
  <si>
    <t>O1126</t>
  </si>
  <si>
    <t>O1127</t>
  </si>
  <si>
    <t>O1128</t>
  </si>
  <si>
    <t>O1129</t>
  </si>
  <si>
    <t>O1130</t>
  </si>
  <si>
    <t>O1131</t>
  </si>
  <si>
    <t>O1132</t>
  </si>
  <si>
    <t>O1133</t>
  </si>
  <si>
    <t>O1134</t>
  </si>
  <si>
    <t>O1135</t>
  </si>
  <si>
    <t>13/12/2026</t>
  </si>
  <si>
    <t>O1136</t>
  </si>
  <si>
    <t>14/12/2026</t>
  </si>
  <si>
    <t>O1137</t>
  </si>
  <si>
    <t>15/12/2026</t>
  </si>
  <si>
    <t>O1138</t>
  </si>
  <si>
    <t>16/12/2026</t>
  </si>
  <si>
    <t>O1139</t>
  </si>
  <si>
    <t>17/12/2026</t>
  </si>
  <si>
    <t>O1140</t>
  </si>
  <si>
    <t>18/12/2026</t>
  </si>
  <si>
    <t>O1141</t>
  </si>
  <si>
    <t>19/12/2026</t>
  </si>
  <si>
    <t>O1142</t>
  </si>
  <si>
    <t>20/12/2026</t>
  </si>
  <si>
    <t>O1143</t>
  </si>
  <si>
    <t>21/12/2026</t>
  </si>
  <si>
    <t>O1144</t>
  </si>
  <si>
    <t>22/12/2026</t>
  </si>
  <si>
    <t>O1145</t>
  </si>
  <si>
    <t>23/12/2026</t>
  </si>
  <si>
    <t>O1146</t>
  </si>
  <si>
    <t>24/12/2026</t>
  </si>
  <si>
    <t>O1147</t>
  </si>
  <si>
    <t>25/12/2026</t>
  </si>
  <si>
    <t>O1148</t>
  </si>
  <si>
    <t>26/12/2026</t>
  </si>
  <si>
    <t>O1149</t>
  </si>
  <si>
    <t>27/12/2026</t>
  </si>
  <si>
    <t>O1150</t>
  </si>
  <si>
    <t>28/12/2026</t>
  </si>
  <si>
    <t>O1151</t>
  </si>
  <si>
    <t>29/12/2026</t>
  </si>
  <si>
    <t>O1152</t>
  </si>
  <si>
    <t>30/12/2026</t>
  </si>
  <si>
    <t>O1153</t>
  </si>
  <si>
    <t>31/12/2026</t>
  </si>
  <si>
    <t>O1154</t>
  </si>
  <si>
    <t>O1155</t>
  </si>
  <si>
    <t>O1156</t>
  </si>
  <si>
    <t>O1157</t>
  </si>
  <si>
    <t>O1158</t>
  </si>
  <si>
    <t>O1159</t>
  </si>
  <si>
    <t>O1160</t>
  </si>
  <si>
    <t>O1161</t>
  </si>
  <si>
    <t>O1162</t>
  </si>
  <si>
    <t>O1163</t>
  </si>
  <si>
    <t>O1164</t>
  </si>
  <si>
    <t>O1165</t>
  </si>
  <si>
    <t>O1166</t>
  </si>
  <si>
    <t>13/01/2026</t>
  </si>
  <si>
    <t>O1167</t>
  </si>
  <si>
    <t>14/01/2026</t>
  </si>
  <si>
    <t>O1168</t>
  </si>
  <si>
    <t>15/01/2026</t>
  </si>
  <si>
    <t>O1169</t>
  </si>
  <si>
    <t>16/01/2026</t>
  </si>
  <si>
    <t>O1170</t>
  </si>
  <si>
    <t>17/01/2026</t>
  </si>
  <si>
    <t>O1171</t>
  </si>
  <si>
    <t>18/01/2026</t>
  </si>
  <si>
    <t>O1172</t>
  </si>
  <si>
    <t>19/01/2026</t>
  </si>
  <si>
    <t>O1173</t>
  </si>
  <si>
    <t>20/01/2026</t>
  </si>
  <si>
    <t>O1174</t>
  </si>
  <si>
    <t>21/01/2026</t>
  </si>
  <si>
    <t>O1175</t>
  </si>
  <si>
    <t>22/01/2026</t>
  </si>
  <si>
    <t>O1176</t>
  </si>
  <si>
    <t>23/01/2026</t>
  </si>
  <si>
    <t>O1177</t>
  </si>
  <si>
    <t>24/01/2026</t>
  </si>
  <si>
    <t>O1178</t>
  </si>
  <si>
    <t>25/01/2026</t>
  </si>
  <si>
    <t>O1179</t>
  </si>
  <si>
    <t>26/01/2026</t>
  </si>
  <si>
    <t>O1180</t>
  </si>
  <si>
    <t>27/01/2026</t>
  </si>
  <si>
    <t>O1181</t>
  </si>
  <si>
    <t>28/01/2026</t>
  </si>
  <si>
    <t>O1182</t>
  </si>
  <si>
    <t>29/01/2026</t>
  </si>
  <si>
    <t>O1183</t>
  </si>
  <si>
    <t>30/01/2026</t>
  </si>
  <si>
    <t>O1184</t>
  </si>
  <si>
    <t>31/01/2026</t>
  </si>
  <si>
    <t>O1185</t>
  </si>
  <si>
    <t>O1186</t>
  </si>
  <si>
    <t>O1187</t>
  </si>
  <si>
    <t>O1188</t>
  </si>
  <si>
    <t>O1189</t>
  </si>
  <si>
    <t>O1190</t>
  </si>
  <si>
    <t>O1191</t>
  </si>
  <si>
    <t>O1192</t>
  </si>
  <si>
    <t>O1193</t>
  </si>
  <si>
    <t>O1194</t>
  </si>
  <si>
    <t>O1195</t>
  </si>
  <si>
    <t>O1196</t>
  </si>
  <si>
    <t>O1197</t>
  </si>
  <si>
    <t>13/02/2026</t>
  </si>
  <si>
    <t>O1198</t>
  </si>
  <si>
    <t>14/02/2026</t>
  </si>
  <si>
    <t>O1199</t>
  </si>
  <si>
    <t>15/02/2026</t>
  </si>
  <si>
    <t>O1200</t>
  </si>
  <si>
    <t>16/02/2026</t>
  </si>
  <si>
    <t>Restaurant Name</t>
  </si>
  <si>
    <t>Cuisine</t>
  </si>
  <si>
    <t>Category</t>
  </si>
  <si>
    <t>Zone</t>
  </si>
  <si>
    <t>Average Rating</t>
  </si>
  <si>
    <t>Spice Villa</t>
  </si>
  <si>
    <t>North Indian</t>
  </si>
  <si>
    <t>Dine-in</t>
  </si>
  <si>
    <t>West</t>
  </si>
  <si>
    <t>Pizza Hub</t>
  </si>
  <si>
    <t>Italian</t>
  </si>
  <si>
    <t>QSR</t>
  </si>
  <si>
    <t>Central</t>
  </si>
  <si>
    <t>Tandoori House</t>
  </si>
  <si>
    <t>Mughlai</t>
  </si>
  <si>
    <t>East</t>
  </si>
  <si>
    <t>Burger Point</t>
  </si>
  <si>
    <t>Fast Food</t>
  </si>
  <si>
    <t>South</t>
  </si>
  <si>
    <t>Dosa Corner</t>
  </si>
  <si>
    <t>South Indian</t>
  </si>
  <si>
    <t>North</t>
  </si>
  <si>
    <t>Biryani Express</t>
  </si>
  <si>
    <t>Biryani</t>
  </si>
  <si>
    <t>Cloud Kitchen</t>
  </si>
  <si>
    <t>Green Leaf</t>
  </si>
  <si>
    <t>Healthy</t>
  </si>
  <si>
    <t>Cafe</t>
  </si>
  <si>
    <t>Cafe Aroma</t>
  </si>
  <si>
    <t>Royal Thali</t>
  </si>
  <si>
    <t>Gujarati</t>
  </si>
  <si>
    <t>Chinese Wok</t>
  </si>
  <si>
    <t>Chinese</t>
  </si>
  <si>
    <t>Food Junction</t>
  </si>
  <si>
    <t>Multi Cuisine</t>
  </si>
  <si>
    <t>Wrap House</t>
  </si>
  <si>
    <t>Curry Palace</t>
  </si>
  <si>
    <t>Indian</t>
  </si>
  <si>
    <t>Momos Magic</t>
  </si>
  <si>
    <t>South Spice</t>
  </si>
  <si>
    <t>Pasta Street</t>
  </si>
  <si>
    <t>Chaat Corner</t>
  </si>
  <si>
    <t>Street Food</t>
  </si>
  <si>
    <t>Grill Nation</t>
  </si>
  <si>
    <t>Continental</t>
  </si>
  <si>
    <t>Kebab Kitchen</t>
  </si>
  <si>
    <t>Urban Tiffin</t>
  </si>
  <si>
    <t>Unassigned</t>
  </si>
  <si>
    <t>Restaurant Name2</t>
  </si>
  <si>
    <t>Day of Week</t>
  </si>
  <si>
    <t>Row Labels</t>
  </si>
  <si>
    <t>Grand Total</t>
  </si>
  <si>
    <t>Sum of Delivery Charge</t>
  </si>
  <si>
    <t>Count of Order ID</t>
  </si>
  <si>
    <t>Restaurant Order Analysis</t>
  </si>
  <si>
    <t>Sum of Order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</si>
</sst>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5" formatCode="[$-409]dd\-mmm\-yy;@"/>
  </numFmts>
  <fonts count="5" x14ac:knownFonts="1">
    <font>
      <sz val="11"/>
      <color theme="1"/>
      <name val="Calibri"/>
      <family val="2"/>
      <scheme val="minor"/>
    </font>
    <font>
      <b/>
      <sz val="11"/>
      <color theme="1"/>
      <name val="Calibri"/>
      <family val="2"/>
      <scheme val="minor"/>
    </font>
    <font>
      <sz val="36"/>
      <color theme="0" tint="-4.9989318521683403E-2"/>
      <name val="Calibri"/>
      <family val="2"/>
      <scheme val="minor"/>
    </font>
    <font>
      <b/>
      <sz val="22"/>
      <color theme="0"/>
      <name val="Calibri"/>
      <family val="2"/>
      <scheme val="minor"/>
    </font>
    <font>
      <b/>
      <sz val="24"/>
      <color theme="0"/>
      <name val="Calibri"/>
      <family val="2"/>
      <scheme val="minor"/>
    </font>
  </fonts>
  <fills count="4">
    <fill>
      <patternFill patternType="none"/>
    </fill>
    <fill>
      <patternFill patternType="gray125"/>
    </fill>
    <fill>
      <patternFill patternType="solid">
        <fgColor theme="1" tint="0.34998626667073579"/>
        <bgColor indexed="64"/>
      </patternFill>
    </fill>
    <fill>
      <patternFill patternType="solid">
        <fgColor theme="1" tint="0.249977111117893"/>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4">
    <xf numFmtId="0" fontId="0" fillId="0" borderId="0" xfId="0"/>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165" fontId="1" fillId="0" borderId="5" xfId="0" applyNumberFormat="1" applyFont="1" applyBorder="1" applyAlignment="1">
      <alignment horizontal="center" vertical="center" wrapText="1"/>
    </xf>
    <xf numFmtId="165" fontId="0" fillId="0" borderId="1" xfId="0" applyNumberFormat="1" applyBorder="1" applyAlignment="1">
      <alignment horizontal="center" vertical="center" wrapText="1"/>
    </xf>
    <xf numFmtId="165" fontId="0" fillId="0" borderId="8" xfId="0" applyNumberFormat="1" applyBorder="1" applyAlignment="1">
      <alignment horizontal="center" vertical="center" wrapText="1"/>
    </xf>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3" fillId="2" borderId="0" xfId="0" applyFont="1" applyFill="1" applyAlignment="1">
      <alignment horizontal="center"/>
    </xf>
    <xf numFmtId="0" fontId="4" fillId="2" borderId="0" xfId="0" applyFont="1" applyFill="1" applyAlignment="1">
      <alignment horizontal="center"/>
    </xf>
    <xf numFmtId="0" fontId="2" fillId="3" borderId="0" xfId="0" applyFont="1" applyFill="1" applyAlignment="1">
      <alignment horizontal="center" vertical="center"/>
    </xf>
    <xf numFmtId="0" fontId="0" fillId="2" borderId="0" xfId="0" applyFill="1" applyAlignment="1">
      <alignment horizontal="center"/>
    </xf>
    <xf numFmtId="0" fontId="0" fillId="2" borderId="0" xfId="0" applyFill="1" applyAlignment="1"/>
    <xf numFmtId="0" fontId="0" fillId="2" borderId="0" xfId="0" applyFill="1"/>
  </cellXfs>
  <cellStyles count="1">
    <cellStyle name="Normal" xfId="0" builtinId="0"/>
  </cellStyles>
  <dxfs count="49">
    <dxf>
      <font>
        <color theme="1" tint="0.34998626667073579"/>
      </font>
    </dxf>
    <dxf>
      <font>
        <color theme="1" tint="0.34998626667073579"/>
      </font>
    </dxf>
    <dxf>
      <numFmt numFmtId="165" formatCode="[$-409]dd\-mmm\-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409]dd\-mmm\-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409]dd\-mmm\-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2" defaultTableStyle="TableStyleMedium2" defaultPivotStyle="PivotStyleLight16">
    <tableStyle name="Slicer Style 1" pivot="0" table="0" count="1" xr9:uid="{46AA46DA-D6D6-47FC-A5F1-C2DB3DEFC7F0}">
      <tableStyleElement type="wholeTable" dxfId="1"/>
    </tableStyle>
    <tableStyle name="Slicer Style 2" pivot="0" table="0" count="1" xr9:uid="{D9734BFD-E5BD-43A2-9E28-050298DB7321}">
      <tableStyleElement type="wholeTable" dxfId="0"/>
    </tableStyle>
  </tableStyles>
  <colors>
    <mruColors>
      <color rgb="FF4545C3"/>
      <color rgb="FF3D40CB"/>
    </mruColors>
  </colors>
  <extLst>
    <ext xmlns:x14="http://schemas.microsoft.com/office/spreadsheetml/2009/9/main" uri="{EB79DEF2-80B8-43e5-95BD-54CBDDF9020C}">
      <x14:slicerStyles defaultSlicerStyle="Slicer Style 2">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[TASKS.xlsx]Pivot_Summary!PivotTable1</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b="1" i="0" u="none" strike="noStrike" baseline="0">
                <a:effectLst>
                  <a:outerShdw blurRad="50800" dist="38100" dir="5400000" algn="t" rotWithShape="0">
                    <a:prstClr val="black">
                      <a:alpha val="40000"/>
                    </a:prstClr>
                  </a:outerShdw>
                </a:effectLst>
              </a:rPr>
              <a:t>City-wise Orders and Delivery Charges</a:t>
            </a:r>
            <a:endParaRPr lang="en-US" sz="18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Pivot_Summary!$B$3</c:f>
              <c:strCache>
                <c:ptCount val="1"/>
                <c:pt idx="0">
                  <c:v>Count of Order 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Pivot_Summary!$A$4:$A$10</c:f>
              <c:strCache>
                <c:ptCount val="6"/>
                <c:pt idx="0">
                  <c:v>Ahmedabad</c:v>
                </c:pt>
                <c:pt idx="1">
                  <c:v>Mumbai</c:v>
                </c:pt>
                <c:pt idx="2">
                  <c:v>Pune</c:v>
                </c:pt>
                <c:pt idx="3">
                  <c:v>Rajkot</c:v>
                </c:pt>
                <c:pt idx="4">
                  <c:v>Surat</c:v>
                </c:pt>
                <c:pt idx="5">
                  <c:v>Vadodara</c:v>
                </c:pt>
              </c:strCache>
            </c:strRef>
          </c:cat>
          <c:val>
            <c:numRef>
              <c:f>Pivot_Summary!$B$4:$B$10</c:f>
              <c:numCache>
                <c:formatCode>General</c:formatCode>
                <c:ptCount val="6"/>
                <c:pt idx="0">
                  <c:v>34</c:v>
                </c:pt>
                <c:pt idx="1">
                  <c:v>33</c:v>
                </c:pt>
                <c:pt idx="2">
                  <c:v>33</c:v>
                </c:pt>
                <c:pt idx="3">
                  <c:v>33</c:v>
                </c:pt>
                <c:pt idx="4">
                  <c:v>34</c:v>
                </c:pt>
                <c:pt idx="5">
                  <c:v>33</c:v>
                </c:pt>
              </c:numCache>
            </c:numRef>
          </c:val>
          <c:extLst>
            <c:ext xmlns:c16="http://schemas.microsoft.com/office/drawing/2014/chart" uri="{C3380CC4-5D6E-409C-BE32-E72D297353CC}">
              <c16:uniqueId val="{00000000-95B4-48C7-A84A-2ED3034AE15C}"/>
            </c:ext>
          </c:extLst>
        </c:ser>
        <c:ser>
          <c:idx val="1"/>
          <c:order val="1"/>
          <c:tx>
            <c:strRef>
              <c:f>Pivot_Summary!$C$3</c:f>
              <c:strCache>
                <c:ptCount val="1"/>
                <c:pt idx="0">
                  <c:v>Sum of Delivery Charge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Pivot_Summary!$A$4:$A$10</c:f>
              <c:strCache>
                <c:ptCount val="6"/>
                <c:pt idx="0">
                  <c:v>Ahmedabad</c:v>
                </c:pt>
                <c:pt idx="1">
                  <c:v>Mumbai</c:v>
                </c:pt>
                <c:pt idx="2">
                  <c:v>Pune</c:v>
                </c:pt>
                <c:pt idx="3">
                  <c:v>Rajkot</c:v>
                </c:pt>
                <c:pt idx="4">
                  <c:v>Surat</c:v>
                </c:pt>
                <c:pt idx="5">
                  <c:v>Vadodara</c:v>
                </c:pt>
              </c:strCache>
            </c:strRef>
          </c:cat>
          <c:val>
            <c:numRef>
              <c:f>Pivot_Summary!$C$4:$C$10</c:f>
              <c:numCache>
                <c:formatCode>General</c:formatCode>
                <c:ptCount val="6"/>
                <c:pt idx="0">
                  <c:v>1295</c:v>
                </c:pt>
                <c:pt idx="1">
                  <c:v>1325</c:v>
                </c:pt>
                <c:pt idx="2">
                  <c:v>1610</c:v>
                </c:pt>
                <c:pt idx="3">
                  <c:v>1325</c:v>
                </c:pt>
                <c:pt idx="4">
                  <c:v>1515</c:v>
                </c:pt>
                <c:pt idx="5">
                  <c:v>1525</c:v>
                </c:pt>
              </c:numCache>
            </c:numRef>
          </c:val>
          <c:extLst>
            <c:ext xmlns:c16="http://schemas.microsoft.com/office/drawing/2014/chart" uri="{C3380CC4-5D6E-409C-BE32-E72D297353CC}">
              <c16:uniqueId val="{00000001-95B4-48C7-A84A-2ED3034AE15C}"/>
            </c:ext>
          </c:extLst>
        </c:ser>
        <c:dLbls>
          <c:dLblPos val="outEnd"/>
          <c:showLegendKey val="0"/>
          <c:showVal val="1"/>
          <c:showCatName val="0"/>
          <c:showSerName val="0"/>
          <c:showPercent val="0"/>
          <c:showBubbleSize val="0"/>
        </c:dLbls>
        <c:gapWidth val="100"/>
        <c:overlap val="-24"/>
        <c:axId val="1444715007"/>
        <c:axId val="1444717503"/>
      </c:barChart>
      <c:catAx>
        <c:axId val="1444715007"/>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4717503"/>
        <c:crosses val="autoZero"/>
        <c:auto val="1"/>
        <c:lblAlgn val="ctr"/>
        <c:lblOffset val="100"/>
        <c:noMultiLvlLbl val="0"/>
      </c:catAx>
      <c:valAx>
        <c:axId val="144471750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1444715007"/>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[TASKS.xlsx]TopRestaurant!PivotTable2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b="1" i="0" u="none" strike="noStrike" baseline="0">
                <a:effectLst>
                  <a:outerShdw blurRad="50800" dist="38100" dir="5400000" algn="t" rotWithShape="0">
                    <a:prstClr val="black">
                      <a:alpha val="40000"/>
                    </a:prstClr>
                  </a:outerShdw>
                </a:effectLst>
              </a:rPr>
              <a:t>Top 5 Restaurant</a:t>
            </a:r>
            <a:endParaRPr lang="en-US" sz="18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TopRestaurant!$B$3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TopRestaurant!$A$4:$A$9</c:f>
              <c:strCache>
                <c:ptCount val="5"/>
                <c:pt idx="0">
                  <c:v>Food Junction</c:v>
                </c:pt>
                <c:pt idx="1">
                  <c:v>Grill Nation</c:v>
                </c:pt>
                <c:pt idx="2">
                  <c:v>Dosa Corner</c:v>
                </c:pt>
                <c:pt idx="3">
                  <c:v>South Spice</c:v>
                </c:pt>
                <c:pt idx="4">
                  <c:v>Tandoori House</c:v>
                </c:pt>
              </c:strCache>
            </c:strRef>
          </c:cat>
          <c:val>
            <c:numRef>
              <c:f>TopRestaurant!$B$4:$B$9</c:f>
              <c:numCache>
                <c:formatCode>General</c:formatCode>
                <c:ptCount val="5"/>
                <c:pt idx="0">
                  <c:v>9950</c:v>
                </c:pt>
                <c:pt idx="1">
                  <c:v>9720</c:v>
                </c:pt>
                <c:pt idx="2">
                  <c:v>9440</c:v>
                </c:pt>
                <c:pt idx="3">
                  <c:v>8920</c:v>
                </c:pt>
                <c:pt idx="4">
                  <c:v>8400</c:v>
                </c:pt>
              </c:numCache>
            </c:numRef>
          </c:val>
          <c:extLst>
            <c:ext xmlns:c16="http://schemas.microsoft.com/office/drawing/2014/chart" uri="{C3380CC4-5D6E-409C-BE32-E72D297353CC}">
              <c16:uniqueId val="{00000003-C2F0-406B-92DB-63D880FC46FF}"/>
            </c:ext>
          </c:extLst>
        </c:ser>
        <c:dLbls>
          <c:dLblPos val="outEnd"/>
          <c:showLegendKey val="0"/>
          <c:showVal val="1"/>
          <c:showCatName val="0"/>
          <c:showSerName val="0"/>
          <c:showPercent val="0"/>
          <c:showBubbleSize val="0"/>
        </c:dLbls>
        <c:gapWidth val="100"/>
        <c:overlap val="-24"/>
        <c:axId val="1444715007"/>
        <c:axId val="1444717503"/>
      </c:barChart>
      <c:catAx>
        <c:axId val="1444715007"/>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4717503"/>
        <c:crosses val="autoZero"/>
        <c:auto val="1"/>
        <c:lblAlgn val="ctr"/>
        <c:lblOffset val="100"/>
        <c:noMultiLvlLbl val="0"/>
      </c:catAx>
      <c:valAx>
        <c:axId val="144471750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1444715007"/>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[TASKS.xlsx]Pivot_Summary!PivotTable1</c:name>
    <c:fmtId val="4"/>
  </c:pivotSource>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b="1" i="0" u="none" strike="noStrike" baseline="0">
                <a:effectLst>
                  <a:outerShdw blurRad="50800" dist="38100" dir="5400000" algn="t" rotWithShape="0">
                    <a:prstClr val="black">
                      <a:alpha val="40000"/>
                    </a:prstClr>
                  </a:outerShdw>
                </a:effectLst>
              </a:rPr>
              <a:t>City-wise Orders and Delivery Charges</a:t>
            </a:r>
            <a:endParaRPr lang="en-US" sz="1800"/>
          </a:p>
        </c:rich>
      </c:tx>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Pivot_Summary!$B$3</c:f>
              <c:strCache>
                <c:ptCount val="1"/>
                <c:pt idx="0">
                  <c:v>Count of Order 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Pivot_Summary!$A$4:$A$10</c:f>
              <c:strCache>
                <c:ptCount val="6"/>
                <c:pt idx="0">
                  <c:v>Ahmedabad</c:v>
                </c:pt>
                <c:pt idx="1">
                  <c:v>Mumbai</c:v>
                </c:pt>
                <c:pt idx="2">
                  <c:v>Pune</c:v>
                </c:pt>
                <c:pt idx="3">
                  <c:v>Rajkot</c:v>
                </c:pt>
                <c:pt idx="4">
                  <c:v>Surat</c:v>
                </c:pt>
                <c:pt idx="5">
                  <c:v>Vadodara</c:v>
                </c:pt>
              </c:strCache>
            </c:strRef>
          </c:cat>
          <c:val>
            <c:numRef>
              <c:f>Pivot_Summary!$B$4:$B$10</c:f>
              <c:numCache>
                <c:formatCode>General</c:formatCode>
                <c:ptCount val="6"/>
                <c:pt idx="0">
                  <c:v>34</c:v>
                </c:pt>
                <c:pt idx="1">
                  <c:v>33</c:v>
                </c:pt>
                <c:pt idx="2">
                  <c:v>33</c:v>
                </c:pt>
                <c:pt idx="3">
                  <c:v>33</c:v>
                </c:pt>
                <c:pt idx="4">
                  <c:v>34</c:v>
                </c:pt>
                <c:pt idx="5">
                  <c:v>33</c:v>
                </c:pt>
              </c:numCache>
            </c:numRef>
          </c:val>
          <c:extLst>
            <c:ext xmlns:c16="http://schemas.microsoft.com/office/drawing/2014/chart" uri="{C3380CC4-5D6E-409C-BE32-E72D297353CC}">
              <c16:uniqueId val="{00000000-6006-43E0-A3A2-C06E88D582F7}"/>
            </c:ext>
          </c:extLst>
        </c:ser>
        <c:ser>
          <c:idx val="1"/>
          <c:order val="1"/>
          <c:tx>
            <c:strRef>
              <c:f>Pivot_Summary!$C$3</c:f>
              <c:strCache>
                <c:ptCount val="1"/>
                <c:pt idx="0">
                  <c:v>Sum of Delivery Charge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Pivot_Summary!$A$4:$A$10</c:f>
              <c:strCache>
                <c:ptCount val="6"/>
                <c:pt idx="0">
                  <c:v>Ahmedabad</c:v>
                </c:pt>
                <c:pt idx="1">
                  <c:v>Mumbai</c:v>
                </c:pt>
                <c:pt idx="2">
                  <c:v>Pune</c:v>
                </c:pt>
                <c:pt idx="3">
                  <c:v>Rajkot</c:v>
                </c:pt>
                <c:pt idx="4">
                  <c:v>Surat</c:v>
                </c:pt>
                <c:pt idx="5">
                  <c:v>Vadodara</c:v>
                </c:pt>
              </c:strCache>
            </c:strRef>
          </c:cat>
          <c:val>
            <c:numRef>
              <c:f>Pivot_Summary!$C$4:$C$10</c:f>
              <c:numCache>
                <c:formatCode>General</c:formatCode>
                <c:ptCount val="6"/>
                <c:pt idx="0">
                  <c:v>1295</c:v>
                </c:pt>
                <c:pt idx="1">
                  <c:v>1325</c:v>
                </c:pt>
                <c:pt idx="2">
                  <c:v>1610</c:v>
                </c:pt>
                <c:pt idx="3">
                  <c:v>1325</c:v>
                </c:pt>
                <c:pt idx="4">
                  <c:v>1515</c:v>
                </c:pt>
                <c:pt idx="5">
                  <c:v>1525</c:v>
                </c:pt>
              </c:numCache>
            </c:numRef>
          </c:val>
          <c:extLst>
            <c:ext xmlns:c16="http://schemas.microsoft.com/office/drawing/2014/chart" uri="{C3380CC4-5D6E-409C-BE32-E72D297353CC}">
              <c16:uniqueId val="{00000001-6006-43E0-A3A2-C06E88D582F7}"/>
            </c:ext>
          </c:extLst>
        </c:ser>
        <c:dLbls>
          <c:dLblPos val="outEnd"/>
          <c:showLegendKey val="0"/>
          <c:showVal val="1"/>
          <c:showCatName val="0"/>
          <c:showSerName val="0"/>
          <c:showPercent val="0"/>
          <c:showBubbleSize val="0"/>
        </c:dLbls>
        <c:gapWidth val="100"/>
        <c:overlap val="-24"/>
        <c:axId val="1444715007"/>
        <c:axId val="1444717503"/>
      </c:barChart>
      <c:catAx>
        <c:axId val="1444715007"/>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4717503"/>
        <c:crosses val="autoZero"/>
        <c:auto val="1"/>
        <c:lblAlgn val="ctr"/>
        <c:lblOffset val="100"/>
        <c:noMultiLvlLbl val="0"/>
      </c:catAx>
      <c:valAx>
        <c:axId val="144471750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crossAx val="1444715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[TASKS.xlsx]TopRestaurant!PivotTable2</c:name>
    <c:fmtId val="3"/>
  </c:pivotSource>
  <c:chart>
    <c:title>
      <c:tx>
        <c:rich>
          <a:bodyPr rot="0" spcFirstLastPara="1" vertOverflow="ellipsis" vert="horz" wrap="square" anchor="ctr" anchorCtr="1"/>
          <a:lstStyle/>
          <a:p>
            <a:pPr>
              <a:defRPr sz="2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800" b="1" i="0" u="none" strike="noStrike" baseline="0">
                <a:effectLst>
                  <a:outerShdw blurRad="50800" dist="38100" dir="5400000" algn="t" rotWithShape="0">
                    <a:prstClr val="black">
                      <a:alpha val="40000"/>
                    </a:prstClr>
                  </a:outerShdw>
                </a:effectLst>
              </a:rPr>
              <a:t>Top 5 Restaurant</a:t>
            </a:r>
            <a:endParaRPr lang="en-US" sz="2800"/>
          </a:p>
        </c:rich>
      </c:tx>
      <c:overlay val="0"/>
      <c:spPr>
        <a:noFill/>
        <a:ln>
          <a:noFill/>
        </a:ln>
        <a:effectLst/>
      </c:spPr>
      <c:txPr>
        <a:bodyPr rot="0" spcFirstLastPara="1" vertOverflow="ellipsis" vert="horz" wrap="square" anchor="ctr" anchorCtr="1"/>
        <a:lstStyle/>
        <a:p>
          <a:pPr>
            <a:defRPr sz="2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TopRestaurant!$B$3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TopRestaurant!$A$4:$A$9</c:f>
              <c:strCache>
                <c:ptCount val="5"/>
                <c:pt idx="0">
                  <c:v>Food Junction</c:v>
                </c:pt>
                <c:pt idx="1">
                  <c:v>Grill Nation</c:v>
                </c:pt>
                <c:pt idx="2">
                  <c:v>Dosa Corner</c:v>
                </c:pt>
                <c:pt idx="3">
                  <c:v>South Spice</c:v>
                </c:pt>
                <c:pt idx="4">
                  <c:v>Tandoori House</c:v>
                </c:pt>
              </c:strCache>
            </c:strRef>
          </c:cat>
          <c:val>
            <c:numRef>
              <c:f>TopRestaurant!$B$4:$B$9</c:f>
              <c:numCache>
                <c:formatCode>General</c:formatCode>
                <c:ptCount val="5"/>
                <c:pt idx="0">
                  <c:v>9950</c:v>
                </c:pt>
                <c:pt idx="1">
                  <c:v>9720</c:v>
                </c:pt>
                <c:pt idx="2">
                  <c:v>9440</c:v>
                </c:pt>
                <c:pt idx="3">
                  <c:v>8920</c:v>
                </c:pt>
                <c:pt idx="4">
                  <c:v>8400</c:v>
                </c:pt>
              </c:numCache>
            </c:numRef>
          </c:val>
          <c:extLst>
            <c:ext xmlns:c16="http://schemas.microsoft.com/office/drawing/2014/chart" uri="{C3380CC4-5D6E-409C-BE32-E72D297353CC}">
              <c16:uniqueId val="{00000000-BEDA-44E7-ACF8-773D344CDD81}"/>
            </c:ext>
          </c:extLst>
        </c:ser>
        <c:dLbls>
          <c:dLblPos val="outEnd"/>
          <c:showLegendKey val="0"/>
          <c:showVal val="1"/>
          <c:showCatName val="0"/>
          <c:showSerName val="0"/>
          <c:showPercent val="0"/>
          <c:showBubbleSize val="0"/>
        </c:dLbls>
        <c:gapWidth val="100"/>
        <c:overlap val="-24"/>
        <c:axId val="1444715007"/>
        <c:axId val="1444717503"/>
      </c:barChart>
      <c:catAx>
        <c:axId val="1444715007"/>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4717503"/>
        <c:crosses val="autoZero"/>
        <c:auto val="1"/>
        <c:lblAlgn val="ctr"/>
        <c:lblOffset val="100"/>
        <c:noMultiLvlLbl val="0"/>
      </c:catAx>
      <c:valAx>
        <c:axId val="144471750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1444715007"/>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228600</xdr:colOff>
      <xdr:row>1</xdr:row>
      <xdr:rowOff>163830</xdr:rowOff>
    </xdr:from>
    <xdr:to>
      <xdr:col>15</xdr:col>
      <xdr:colOff>106680</xdr:colOff>
      <xdr:row>21</xdr:row>
      <xdr:rowOff>160020</xdr:rowOff>
    </xdr:to>
    <xdr:graphicFrame macro="">
      <xdr:nvGraphicFramePr>
        <xdr:cNvPr id="2" name="Chart 1">
          <a:extLst>
            <a:ext uri="{FF2B5EF4-FFF2-40B4-BE49-F238E27FC236}">
              <a16:creationId xmlns:a16="http://schemas.microsoft.com/office/drawing/2014/main" id="{7B887CCD-9CAD-4A0E-B641-0C44E1CA10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xdr:colOff>
      <xdr:row>1</xdr:row>
      <xdr:rowOff>156210</xdr:rowOff>
    </xdr:from>
    <xdr:to>
      <xdr:col>15</xdr:col>
      <xdr:colOff>83820</xdr:colOff>
      <xdr:row>24</xdr:row>
      <xdr:rowOff>152400</xdr:rowOff>
    </xdr:to>
    <xdr:graphicFrame macro="">
      <xdr:nvGraphicFramePr>
        <xdr:cNvPr id="2" name="Chart 1">
          <a:extLst>
            <a:ext uri="{FF2B5EF4-FFF2-40B4-BE49-F238E27FC236}">
              <a16:creationId xmlns:a16="http://schemas.microsoft.com/office/drawing/2014/main" id="{037E3BB3-3415-4BA7-8EFC-6EDBBA424C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7620</xdr:colOff>
      <xdr:row>3</xdr:row>
      <xdr:rowOff>7620</xdr:rowOff>
    </xdr:from>
    <xdr:to>
      <xdr:col>4</xdr:col>
      <xdr:colOff>601980</xdr:colOff>
      <xdr:row>5</xdr:row>
      <xdr:rowOff>68580</xdr:rowOff>
    </xdr:to>
    <xdr:sp macro="" textlink="">
      <xdr:nvSpPr>
        <xdr:cNvPr id="2" name="Rectangle 1">
          <a:extLst>
            <a:ext uri="{FF2B5EF4-FFF2-40B4-BE49-F238E27FC236}">
              <a16:creationId xmlns:a16="http://schemas.microsoft.com/office/drawing/2014/main" id="{17F2F39D-017E-4434-BF6D-DB36933B77E6}"/>
            </a:ext>
          </a:extLst>
        </xdr:cNvPr>
        <xdr:cNvSpPr/>
      </xdr:nvSpPr>
      <xdr:spPr>
        <a:xfrm>
          <a:off x="7620" y="556260"/>
          <a:ext cx="3032760" cy="426720"/>
        </a:xfrm>
        <a:prstGeom prst="rect">
          <a:avLst/>
        </a:prstGeom>
        <a:solidFill>
          <a:schemeClr val="tx1">
            <a:lumMod val="65000"/>
            <a:lumOff val="35000"/>
          </a:schemeClr>
        </a:solidFill>
        <a:ln>
          <a:solidFill>
            <a:schemeClr val="tx1">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t>Total Orders</a:t>
          </a:r>
        </a:p>
      </xdr:txBody>
    </xdr:sp>
    <xdr:clientData/>
  </xdr:twoCellAnchor>
  <xdr:twoCellAnchor>
    <xdr:from>
      <xdr:col>6</xdr:col>
      <xdr:colOff>7620</xdr:colOff>
      <xdr:row>3</xdr:row>
      <xdr:rowOff>0</xdr:rowOff>
    </xdr:from>
    <xdr:to>
      <xdr:col>12</xdr:col>
      <xdr:colOff>0</xdr:colOff>
      <xdr:row>5</xdr:row>
      <xdr:rowOff>76200</xdr:rowOff>
    </xdr:to>
    <xdr:sp macro="" textlink="">
      <xdr:nvSpPr>
        <xdr:cNvPr id="3" name="Rectangle 2">
          <a:extLst>
            <a:ext uri="{FF2B5EF4-FFF2-40B4-BE49-F238E27FC236}">
              <a16:creationId xmlns:a16="http://schemas.microsoft.com/office/drawing/2014/main" id="{628547F0-6062-47B9-B471-458411FC673B}"/>
            </a:ext>
          </a:extLst>
        </xdr:cNvPr>
        <xdr:cNvSpPr/>
      </xdr:nvSpPr>
      <xdr:spPr>
        <a:xfrm>
          <a:off x="3665220" y="548640"/>
          <a:ext cx="3649980" cy="441960"/>
        </a:xfrm>
        <a:prstGeom prst="rect">
          <a:avLst/>
        </a:prstGeom>
        <a:solidFill>
          <a:schemeClr val="tx1">
            <a:lumMod val="65000"/>
            <a:lumOff val="35000"/>
          </a:schemeClr>
        </a:solidFill>
        <a:ln>
          <a:solidFill>
            <a:schemeClr val="tx1">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Average Dilevery Time</a:t>
          </a:r>
        </a:p>
      </xdr:txBody>
    </xdr:sp>
    <xdr:clientData/>
  </xdr:twoCellAnchor>
  <xdr:twoCellAnchor>
    <xdr:from>
      <xdr:col>18</xdr:col>
      <xdr:colOff>7620</xdr:colOff>
      <xdr:row>3</xdr:row>
      <xdr:rowOff>7620</xdr:rowOff>
    </xdr:from>
    <xdr:to>
      <xdr:col>22</xdr:col>
      <xdr:colOff>601980</xdr:colOff>
      <xdr:row>5</xdr:row>
      <xdr:rowOff>68580</xdr:rowOff>
    </xdr:to>
    <xdr:sp macro="" textlink="">
      <xdr:nvSpPr>
        <xdr:cNvPr id="4" name="Rectangle 3">
          <a:extLst>
            <a:ext uri="{FF2B5EF4-FFF2-40B4-BE49-F238E27FC236}">
              <a16:creationId xmlns:a16="http://schemas.microsoft.com/office/drawing/2014/main" id="{9A39BF87-F44A-4FB3-BF2B-A1002FF8AD42}"/>
            </a:ext>
          </a:extLst>
        </xdr:cNvPr>
        <xdr:cNvSpPr/>
      </xdr:nvSpPr>
      <xdr:spPr>
        <a:xfrm>
          <a:off x="10980420" y="556260"/>
          <a:ext cx="3032760" cy="426720"/>
        </a:xfrm>
        <a:prstGeom prst="rect">
          <a:avLst/>
        </a:prstGeom>
        <a:solidFill>
          <a:schemeClr val="tx1">
            <a:lumMod val="65000"/>
            <a:lumOff val="35000"/>
          </a:schemeClr>
        </a:solidFill>
        <a:ln>
          <a:solidFill>
            <a:schemeClr val="tx1">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t>Maximum Order</a:t>
          </a:r>
          <a:endParaRPr lang="en-US" sz="4800" b="1"/>
        </a:p>
      </xdr:txBody>
    </xdr:sp>
    <xdr:clientData/>
  </xdr:twoCellAnchor>
  <xdr:twoCellAnchor>
    <xdr:from>
      <xdr:col>13</xdr:col>
      <xdr:colOff>15240</xdr:colOff>
      <xdr:row>3</xdr:row>
      <xdr:rowOff>7620</xdr:rowOff>
    </xdr:from>
    <xdr:to>
      <xdr:col>17</xdr:col>
      <xdr:colOff>7620</xdr:colOff>
      <xdr:row>5</xdr:row>
      <xdr:rowOff>68580</xdr:rowOff>
    </xdr:to>
    <xdr:sp macro="" textlink="">
      <xdr:nvSpPr>
        <xdr:cNvPr id="5" name="Rectangle 4">
          <a:extLst>
            <a:ext uri="{FF2B5EF4-FFF2-40B4-BE49-F238E27FC236}">
              <a16:creationId xmlns:a16="http://schemas.microsoft.com/office/drawing/2014/main" id="{07719B98-116C-4F96-912D-68808F437452}"/>
            </a:ext>
          </a:extLst>
        </xdr:cNvPr>
        <xdr:cNvSpPr/>
      </xdr:nvSpPr>
      <xdr:spPr>
        <a:xfrm>
          <a:off x="7940040" y="556260"/>
          <a:ext cx="2430780" cy="426720"/>
        </a:xfrm>
        <a:prstGeom prst="rect">
          <a:avLst/>
        </a:prstGeom>
        <a:solidFill>
          <a:schemeClr val="tx1">
            <a:lumMod val="65000"/>
            <a:lumOff val="35000"/>
          </a:schemeClr>
        </a:solidFill>
        <a:ln>
          <a:solidFill>
            <a:schemeClr val="tx1">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t>Minimum Order</a:t>
          </a:r>
        </a:p>
      </xdr:txBody>
    </xdr:sp>
    <xdr:clientData/>
  </xdr:twoCellAnchor>
  <xdr:twoCellAnchor>
    <xdr:from>
      <xdr:col>0</xdr:col>
      <xdr:colOff>0</xdr:colOff>
      <xdr:row>7</xdr:row>
      <xdr:rowOff>0</xdr:rowOff>
    </xdr:from>
    <xdr:to>
      <xdr:col>9</xdr:col>
      <xdr:colOff>601980</xdr:colOff>
      <xdr:row>27</xdr:row>
      <xdr:rowOff>38100</xdr:rowOff>
    </xdr:to>
    <xdr:graphicFrame macro="">
      <xdr:nvGraphicFramePr>
        <xdr:cNvPr id="6" name="Chart 5">
          <a:extLst>
            <a:ext uri="{FF2B5EF4-FFF2-40B4-BE49-F238E27FC236}">
              <a16:creationId xmlns:a16="http://schemas.microsoft.com/office/drawing/2014/main" id="{51D4E918-1708-480F-B69D-11511B3EBB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297180</xdr:colOff>
      <xdr:row>7</xdr:row>
      <xdr:rowOff>7620</xdr:rowOff>
    </xdr:from>
    <xdr:to>
      <xdr:col>22</xdr:col>
      <xdr:colOff>594360</xdr:colOff>
      <xdr:row>27</xdr:row>
      <xdr:rowOff>15239</xdr:rowOff>
    </xdr:to>
    <mc:AlternateContent xmlns:mc="http://schemas.openxmlformats.org/markup-compatibility/2006">
      <mc:Choice xmlns:a14="http://schemas.microsoft.com/office/drawing/2010/main" Requires="a14">
        <xdr:graphicFrame macro="">
          <xdr:nvGraphicFramePr>
            <xdr:cNvPr id="7" name="City">
              <a:extLst>
                <a:ext uri="{FF2B5EF4-FFF2-40B4-BE49-F238E27FC236}">
                  <a16:creationId xmlns:a16="http://schemas.microsoft.com/office/drawing/2014/main" id="{360B4A5C-13C2-486B-A7A5-51BFEF3B3A4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1879580" y="1287780"/>
              <a:ext cx="2125980" cy="36652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0</xdr:colOff>
      <xdr:row>7</xdr:row>
      <xdr:rowOff>0</xdr:rowOff>
    </xdr:from>
    <xdr:to>
      <xdr:col>19</xdr:col>
      <xdr:colOff>289560</xdr:colOff>
      <xdr:row>27</xdr:row>
      <xdr:rowOff>45720</xdr:rowOff>
    </xdr:to>
    <xdr:graphicFrame macro="">
      <xdr:nvGraphicFramePr>
        <xdr:cNvPr id="9" name="Chart 8">
          <a:extLst>
            <a:ext uri="{FF2B5EF4-FFF2-40B4-BE49-F238E27FC236}">
              <a16:creationId xmlns:a16="http://schemas.microsoft.com/office/drawing/2014/main" id="{8FEBCBC6-F2BC-418F-B588-0DA3E517AA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94.460229282406" createdVersion="7" refreshedVersion="7" minRefreshableVersion="3" recordCount="200" xr:uid="{03623E36-D56A-40A8-AFAB-C22D5A999F5B}">
  <cacheSource type="worksheet">
    <worksheetSource name="Table14"/>
  </cacheSource>
  <cacheFields count="14">
    <cacheField name="Order ID" numFmtId="0">
      <sharedItems/>
    </cacheField>
    <cacheField name="Customer ID" numFmtId="0">
      <sharedItems/>
    </cacheField>
    <cacheField name="Restaurant ID" numFmtId="0">
      <sharedItems/>
    </cacheField>
    <cacheField name="Restaurant Name" numFmtId="0">
      <sharedItems count="20">
        <s v="Spice Villa"/>
        <s v="Pizza Hub"/>
        <s v="Tandoori House"/>
        <s v="Burger Point"/>
        <s v="Dosa Corner"/>
        <s v="Biryani Express"/>
        <s v="Green Leaf"/>
        <s v="Cafe Aroma"/>
        <s v="Royal Thali"/>
        <s v="Chinese Wok"/>
        <s v="Food Junction"/>
        <s v="Wrap House"/>
        <s v="Curry Palace"/>
        <s v="Momos Magic"/>
        <s v="South Spice"/>
        <s v="Pasta Street"/>
        <s v="Chaat Corner"/>
        <s v="Grill Nation"/>
        <s v="Kebab Kitchen"/>
        <s v="Urban Tiffin"/>
      </sharedItems>
    </cacheField>
    <cacheField name="City" numFmtId="0">
      <sharedItems count="6">
        <s v="Ahmedabad"/>
        <s v="Surat"/>
        <s v="Rajkot"/>
        <s v="Vadodara"/>
        <s v="Mumbai"/>
        <s v="Pune"/>
      </sharedItems>
    </cacheField>
    <cacheField name="Order Date" numFmtId="165">
      <sharedItems containsSemiMixedTypes="0" containsNonDate="0" containsDate="1" containsString="0" minDate="2026-01-01T00:00:00" maxDate="2027-01-01T00:00:00"/>
    </cacheField>
    <cacheField name="Delivery Date" numFmtId="165">
      <sharedItems containsSemiMixedTypes="0" containsNonDate="0" containsDate="1" containsString="0" minDate="2026-01-01T00:00:00" maxDate="2027-01-01T00:00:00"/>
    </cacheField>
    <cacheField name="Day of Week" numFmtId="165">
      <sharedItems/>
    </cacheField>
    <cacheField name="Delivery Partner" numFmtId="0">
      <sharedItems/>
    </cacheField>
    <cacheField name="Delivery Time (Min)" numFmtId="0">
      <sharedItems containsSemiMixedTypes="0" containsString="0" containsNumber="1" containsInteger="1" minValue="24" maxValue="48"/>
    </cacheField>
    <cacheField name="Delivery Charge" numFmtId="0">
      <sharedItems containsSemiMixedTypes="0" containsString="0" containsNumber="1" containsInteger="1" minValue="30" maxValue="65"/>
    </cacheField>
    <cacheField name="Order Amount" numFmtId="0">
      <sharedItems containsSemiMixedTypes="0" containsString="0" containsNumber="1" containsInteger="1" minValue="320" maxValue="1050"/>
    </cacheField>
    <cacheField name="Order Status" numFmtId="0">
      <sharedItems/>
    </cacheField>
    <cacheField name="Rating" numFmtId="0">
      <sharedItems containsSemiMixedTypes="0" containsString="0" containsNumber="1" minValue="3" maxValue="5"/>
    </cacheField>
  </cacheFields>
  <extLst>
    <ext xmlns:x14="http://schemas.microsoft.com/office/spreadsheetml/2009/9/main" uri="{725AE2AE-9491-48be-B2B4-4EB974FC3084}">
      <x14:pivotCacheDefinition pivotCacheId="5153564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O1001"/>
    <s v="C1001"/>
    <s v="R001"/>
    <x v="0"/>
    <x v="0"/>
    <d v="2026-08-01T00:00:00"/>
    <d v="2026-08-01T00:00:00"/>
    <s v="Saturday"/>
    <s v="Ravi"/>
    <n v="32"/>
    <n v="40"/>
    <n v="450"/>
    <s v="Delivered"/>
    <n v="4.5"/>
  </r>
  <r>
    <s v="O1002"/>
    <s v="C1002"/>
    <s v="R002"/>
    <x v="1"/>
    <x v="1"/>
    <d v="2026-08-02T00:00:00"/>
    <d v="2026-08-02T00:00:00"/>
    <s v="Sunday"/>
    <s v="Mehul"/>
    <n v="28"/>
    <n v="35"/>
    <n v="620"/>
    <s v="Delivered"/>
    <n v="4"/>
  </r>
  <r>
    <s v="O1003"/>
    <s v="C1003"/>
    <s v="R003"/>
    <x v="2"/>
    <x v="2"/>
    <d v="2026-08-03T00:00:00"/>
    <d v="2026-08-03T00:00:00"/>
    <s v="Monday"/>
    <s v="Jay"/>
    <n v="41"/>
    <n v="45"/>
    <n v="780"/>
    <s v="Delivered"/>
    <n v="4.5"/>
  </r>
  <r>
    <s v="O1004"/>
    <s v="C1004"/>
    <s v="R004"/>
    <x v="3"/>
    <x v="3"/>
    <d v="2026-08-04T00:00:00"/>
    <d v="2026-08-04T00:00:00"/>
    <s v="Tuesday"/>
    <s v="Aman"/>
    <n v="25"/>
    <n v="30"/>
    <n v="350"/>
    <s v="Delivered"/>
    <n v="5"/>
  </r>
  <r>
    <s v="O1005"/>
    <s v="C1005"/>
    <s v="R005"/>
    <x v="4"/>
    <x v="4"/>
    <d v="2026-08-05T00:00:00"/>
    <d v="2026-08-05T00:00:00"/>
    <s v="Wednesday"/>
    <s v="Raj"/>
    <n v="36"/>
    <n v="50"/>
    <n v="890"/>
    <s v="Delivered"/>
    <n v="4"/>
  </r>
  <r>
    <s v="O1006"/>
    <s v="C1006"/>
    <s v="R006"/>
    <x v="5"/>
    <x v="5"/>
    <d v="2026-08-06T00:00:00"/>
    <d v="2026-08-06T00:00:00"/>
    <s v="Thursday"/>
    <s v="Priya"/>
    <n v="44"/>
    <n v="60"/>
    <n v="720"/>
    <s v="Delivered"/>
    <n v="3.5"/>
  </r>
  <r>
    <s v="O1007"/>
    <s v="C1007"/>
    <s v="R007"/>
    <x v="6"/>
    <x v="0"/>
    <d v="2026-08-07T00:00:00"/>
    <d v="2026-08-07T00:00:00"/>
    <s v="Friday"/>
    <s v="Karan"/>
    <n v="29"/>
    <n v="35"/>
    <n v="510"/>
    <s v="Delivered"/>
    <n v="4.5"/>
  </r>
  <r>
    <s v="O1008"/>
    <s v="C1008"/>
    <s v="R008"/>
    <x v="7"/>
    <x v="1"/>
    <d v="2026-08-08T00:00:00"/>
    <d v="2026-08-08T00:00:00"/>
    <s v="Saturday"/>
    <s v="Unassigned"/>
    <n v="38"/>
    <n v="45"/>
    <n v="430"/>
    <s v="Delivered"/>
    <n v="4"/>
  </r>
  <r>
    <s v="O1009"/>
    <s v="C1009"/>
    <s v="R009"/>
    <x v="8"/>
    <x v="2"/>
    <d v="2026-08-09T00:00:00"/>
    <d v="2026-08-09T00:00:00"/>
    <s v="Sunday"/>
    <s v="Ravi"/>
    <n v="27"/>
    <n v="30"/>
    <n v="680"/>
    <s v="Delivered"/>
    <n v="4.5"/>
  </r>
  <r>
    <s v="O1010"/>
    <s v="C1010"/>
    <s v="R010"/>
    <x v="9"/>
    <x v="3"/>
    <d v="2026-08-10T00:00:00"/>
    <d v="2026-08-10T00:00:00"/>
    <s v="Monday"/>
    <s v="Neha"/>
    <n v="35"/>
    <n v="40"/>
    <n v="560"/>
    <s v="Delivered"/>
    <n v="4"/>
  </r>
  <r>
    <s v="O1011"/>
    <s v="C1011"/>
    <s v="R011"/>
    <x v="10"/>
    <x v="4"/>
    <d v="2026-08-11T00:00:00"/>
    <d v="2026-08-11T00:00:00"/>
    <s v="Tuesday"/>
    <s v="Mehul"/>
    <n v="31"/>
    <n v="45"/>
    <n v="950"/>
    <s v="Delivered"/>
    <n v="5"/>
  </r>
  <r>
    <s v="O1012"/>
    <s v="C1012"/>
    <s v="R012"/>
    <x v="11"/>
    <x v="5"/>
    <d v="2026-08-12T00:00:00"/>
    <d v="2026-08-12T00:00:00"/>
    <s v="Wednesday"/>
    <s v="Jay"/>
    <n v="42"/>
    <n v="55"/>
    <n v="390"/>
    <s v="Delivered"/>
    <n v="3.5"/>
  </r>
  <r>
    <s v="O1013"/>
    <s v="C1013"/>
    <s v="R013"/>
    <x v="12"/>
    <x v="0"/>
    <d v="2026-08-13T00:00:00"/>
    <d v="2026-08-13T00:00:00"/>
    <s v="Thursday"/>
    <s v="Aman"/>
    <n v="26"/>
    <n v="30"/>
    <n v="740"/>
    <s v="Delivered"/>
    <n v="4.5"/>
  </r>
  <r>
    <s v="O1014"/>
    <s v="C1014"/>
    <s v="R014"/>
    <x v="13"/>
    <x v="1"/>
    <d v="2026-08-14T00:00:00"/>
    <d v="2026-08-14T00:00:00"/>
    <s v="Friday"/>
    <s v="Raj"/>
    <n v="34"/>
    <n v="40"/>
    <n v="480"/>
    <s v="Delivered"/>
    <n v="4"/>
  </r>
  <r>
    <s v="O1015"/>
    <s v="C1015"/>
    <s v="R015"/>
    <x v="14"/>
    <x v="2"/>
    <d v="2026-08-15T00:00:00"/>
    <d v="2026-08-15T00:00:00"/>
    <s v="Saturday"/>
    <s v="Unassigned"/>
    <n v="47"/>
    <n v="65"/>
    <n v="830"/>
    <s v="Delayed"/>
    <n v="3"/>
  </r>
  <r>
    <s v="O1016"/>
    <s v="C1016"/>
    <s v="R016"/>
    <x v="15"/>
    <x v="3"/>
    <d v="2026-08-16T00:00:00"/>
    <d v="2026-08-16T00:00:00"/>
    <s v="Sunday"/>
    <s v="Priya"/>
    <n v="30"/>
    <n v="35"/>
    <n v="590"/>
    <s v="Delivered"/>
    <n v="4.5"/>
  </r>
  <r>
    <s v="O1017"/>
    <s v="C1017"/>
    <s v="R017"/>
    <x v="16"/>
    <x v="4"/>
    <d v="2026-08-17T00:00:00"/>
    <d v="2026-08-17T00:00:00"/>
    <s v="Monday"/>
    <s v="Karan"/>
    <n v="24"/>
    <n v="30"/>
    <n v="320"/>
    <s v="Delivered"/>
    <n v="5"/>
  </r>
  <r>
    <s v="O1018"/>
    <s v="C1018"/>
    <s v="R018"/>
    <x v="17"/>
    <x v="5"/>
    <d v="2026-08-18T00:00:00"/>
    <d v="2026-08-18T00:00:00"/>
    <s v="Tuesday"/>
    <s v="Ravi"/>
    <n v="39"/>
    <n v="50"/>
    <n v="910"/>
    <s v="Delivered"/>
    <n v="4"/>
  </r>
  <r>
    <s v="O1019"/>
    <s v="C1019"/>
    <s v="R019"/>
    <x v="18"/>
    <x v="0"/>
    <d v="2026-08-19T00:00:00"/>
    <d v="2026-08-19T00:00:00"/>
    <s v="Wednesday"/>
    <s v="Mehul"/>
    <n v="33"/>
    <n v="40"/>
    <n v="670"/>
    <s v="Delivered"/>
    <n v="4.5"/>
  </r>
  <r>
    <s v="O1020"/>
    <s v="C1020"/>
    <s v="R020"/>
    <x v="19"/>
    <x v="1"/>
    <d v="2026-08-20T00:00:00"/>
    <d v="2026-08-20T00:00:00"/>
    <s v="Thursday"/>
    <s v="Jay"/>
    <n v="45"/>
    <n v="60"/>
    <n v="540"/>
    <s v="Delivered"/>
    <n v="3.5"/>
  </r>
  <r>
    <s v="O1021"/>
    <s v="C1021"/>
    <s v="R001"/>
    <x v="0"/>
    <x v="2"/>
    <d v="2026-08-21T00:00:00"/>
    <d v="2026-08-21T00:00:00"/>
    <s v="Friday"/>
    <s v="Aman"/>
    <n v="29"/>
    <n v="35"/>
    <n v="460"/>
    <s v="Delivered"/>
    <n v="4"/>
  </r>
  <r>
    <s v="O1022"/>
    <s v="C1022"/>
    <s v="R002"/>
    <x v="1"/>
    <x v="3"/>
    <d v="2026-08-22T00:00:00"/>
    <d v="2026-08-22T00:00:00"/>
    <s v="Saturday"/>
    <s v="Raj"/>
    <n v="37"/>
    <n v="45"/>
    <n v="710"/>
    <s v="Delivered"/>
    <n v="4.5"/>
  </r>
  <r>
    <s v="O1023"/>
    <s v="C1023"/>
    <s v="R003"/>
    <x v="2"/>
    <x v="4"/>
    <d v="2026-08-23T00:00:00"/>
    <d v="2026-08-23T00:00:00"/>
    <s v="Sunday"/>
    <s v="Unassigned"/>
    <n v="43"/>
    <n v="60"/>
    <n v="850"/>
    <s v="Delayed"/>
    <n v="3"/>
  </r>
  <r>
    <s v="O1024"/>
    <s v="C1024"/>
    <s v="R004"/>
    <x v="3"/>
    <x v="5"/>
    <d v="2026-08-24T00:00:00"/>
    <d v="2026-08-24T00:00:00"/>
    <s v="Monday"/>
    <s v="Priya"/>
    <n v="28"/>
    <n v="35"/>
    <n v="370"/>
    <s v="Delivered"/>
    <n v="4"/>
  </r>
  <r>
    <s v="O1025"/>
    <s v="C1025"/>
    <s v="R005"/>
    <x v="4"/>
    <x v="0"/>
    <d v="2026-08-25T00:00:00"/>
    <d v="2026-08-25T00:00:00"/>
    <s v="Tuesday"/>
    <s v="Karan"/>
    <n v="31"/>
    <n v="40"/>
    <n v="920"/>
    <s v="Delivered"/>
    <n v="4.5"/>
  </r>
  <r>
    <s v="O1026"/>
    <s v="C1026"/>
    <s v="R006"/>
    <x v="5"/>
    <x v="1"/>
    <d v="2026-08-26T00:00:00"/>
    <d v="2026-08-26T00:00:00"/>
    <s v="Wednesday"/>
    <s v="Ravi"/>
    <n v="40"/>
    <n v="50"/>
    <n v="640"/>
    <s v="Delivered"/>
    <n v="4"/>
  </r>
  <r>
    <s v="O1027"/>
    <s v="C1027"/>
    <s v="R007"/>
    <x v="6"/>
    <x v="2"/>
    <d v="2026-08-27T00:00:00"/>
    <d v="2026-08-27T00:00:00"/>
    <s v="Thursday"/>
    <s v="Mehul"/>
    <n v="26"/>
    <n v="30"/>
    <n v="510"/>
    <s v="Delivered"/>
    <n v="5"/>
  </r>
  <r>
    <s v="O1028"/>
    <s v="C1028"/>
    <s v="R008"/>
    <x v="7"/>
    <x v="3"/>
    <d v="2026-08-28T00:00:00"/>
    <d v="2026-08-28T00:00:00"/>
    <s v="Friday"/>
    <s v="Jay"/>
    <n v="35"/>
    <n v="45"/>
    <n v="430"/>
    <s v="Delivered"/>
    <n v="4"/>
  </r>
  <r>
    <s v="O1029"/>
    <s v="C1029"/>
    <s v="R009"/>
    <x v="8"/>
    <x v="4"/>
    <d v="2026-08-29T00:00:00"/>
    <d v="2026-08-29T00:00:00"/>
    <s v="Saturday"/>
    <s v="Aman"/>
    <n v="30"/>
    <n v="40"/>
    <n v="680"/>
    <s v="Delivered"/>
    <n v="4.5"/>
  </r>
  <r>
    <s v="O1030"/>
    <s v="C1030"/>
    <s v="R010"/>
    <x v="9"/>
    <x v="5"/>
    <d v="2026-08-30T00:00:00"/>
    <d v="2026-08-30T00:00:00"/>
    <s v="Sunday"/>
    <s v="Raj"/>
    <n v="48"/>
    <n v="65"/>
    <n v="570"/>
    <s v="Delayed"/>
    <n v="3.5"/>
  </r>
  <r>
    <s v="O1031"/>
    <s v="C1031"/>
    <s v="R011"/>
    <x v="10"/>
    <x v="0"/>
    <d v="2026-08-31T00:00:00"/>
    <d v="2026-08-31T00:00:00"/>
    <s v="Monday"/>
    <s v="Priya"/>
    <n v="27"/>
    <n v="30"/>
    <n v="960"/>
    <s v="Delivered"/>
    <n v="5"/>
  </r>
  <r>
    <s v="O1032"/>
    <s v="C1032"/>
    <s v="R012"/>
    <x v="11"/>
    <x v="1"/>
    <d v="2026-09-01T00:00:00"/>
    <d v="2026-09-01T00:00:00"/>
    <s v="Tuesday"/>
    <s v="Karan"/>
    <n v="34"/>
    <n v="40"/>
    <n v="410"/>
    <s v="Delivered"/>
    <n v="4"/>
  </r>
  <r>
    <s v="O1033"/>
    <s v="C1033"/>
    <s v="R013"/>
    <x v="12"/>
    <x v="2"/>
    <d v="2026-09-02T00:00:00"/>
    <d v="2026-09-02T00:00:00"/>
    <s v="Wednesday"/>
    <s v="Unassigned"/>
    <n v="36"/>
    <n v="45"/>
    <n v="750"/>
    <s v="Delivered"/>
    <n v="4.5"/>
  </r>
  <r>
    <s v="O1034"/>
    <s v="C1034"/>
    <s v="R014"/>
    <x v="13"/>
    <x v="3"/>
    <d v="2026-09-03T00:00:00"/>
    <d v="2026-09-03T00:00:00"/>
    <s v="Thursday"/>
    <s v="Ravi"/>
    <n v="29"/>
    <n v="35"/>
    <n v="490"/>
    <s v="Delivered"/>
    <n v="4"/>
  </r>
  <r>
    <s v="O1035"/>
    <s v="C1035"/>
    <s v="R015"/>
    <x v="14"/>
    <x v="4"/>
    <d v="2026-09-04T00:00:00"/>
    <d v="2026-09-04T00:00:00"/>
    <s v="Friday"/>
    <s v="Mehul"/>
    <n v="42"/>
    <n v="55"/>
    <n v="840"/>
    <s v="Delivered"/>
    <n v="3.5"/>
  </r>
  <r>
    <s v="O1036"/>
    <s v="C1036"/>
    <s v="R016"/>
    <x v="15"/>
    <x v="5"/>
    <d v="2026-09-05T00:00:00"/>
    <d v="2026-09-05T00:00:00"/>
    <s v="Saturday"/>
    <s v="Jay"/>
    <n v="25"/>
    <n v="30"/>
    <n v="610"/>
    <s v="Delivered"/>
    <n v="4.5"/>
  </r>
  <r>
    <s v="O1037"/>
    <s v="C1037"/>
    <s v="R017"/>
    <x v="16"/>
    <x v="0"/>
    <d v="2026-09-06T00:00:00"/>
    <d v="2026-09-06T00:00:00"/>
    <s v="Sunday"/>
    <s v="Aman"/>
    <n v="32"/>
    <n v="40"/>
    <n v="330"/>
    <s v="Delivered"/>
    <n v="5"/>
  </r>
  <r>
    <s v="O1038"/>
    <s v="C1038"/>
    <s v="R018"/>
    <x v="17"/>
    <x v="1"/>
    <d v="2026-09-07T00:00:00"/>
    <d v="2026-09-07T00:00:00"/>
    <s v="Monday"/>
    <s v="Raj"/>
    <n v="39"/>
    <n v="50"/>
    <n v="920"/>
    <s v="Delivered"/>
    <n v="4"/>
  </r>
  <r>
    <s v="O1039"/>
    <s v="C1039"/>
    <s v="R019"/>
    <x v="18"/>
    <x v="2"/>
    <d v="2026-09-08T00:00:00"/>
    <d v="2026-09-08T00:00:00"/>
    <s v="Tuesday"/>
    <s v="Priya"/>
    <n v="27"/>
    <n v="35"/>
    <n v="690"/>
    <s v="Delivered"/>
    <n v="4.5"/>
  </r>
  <r>
    <s v="O1040"/>
    <s v="C1040"/>
    <s v="R020"/>
    <x v="19"/>
    <x v="3"/>
    <d v="2026-09-09T00:00:00"/>
    <d v="2026-09-09T00:00:00"/>
    <s v="Wednesday"/>
    <s v="Unassigned"/>
    <n v="44"/>
    <n v="60"/>
    <n v="550"/>
    <s v="Delayed"/>
    <n v="3"/>
  </r>
  <r>
    <s v="O1041"/>
    <s v="C1041"/>
    <s v="R001"/>
    <x v="0"/>
    <x v="4"/>
    <d v="2026-09-10T00:00:00"/>
    <d v="2026-09-10T00:00:00"/>
    <s v="Thursday"/>
    <s v="Karan"/>
    <n v="30"/>
    <n v="40"/>
    <n v="470"/>
    <s v="Delivered"/>
    <n v="4"/>
  </r>
  <r>
    <s v="O1042"/>
    <s v="C1042"/>
    <s v="R002"/>
    <x v="1"/>
    <x v="5"/>
    <d v="2026-09-11T00:00:00"/>
    <d v="2026-09-11T00:00:00"/>
    <s v="Friday"/>
    <s v="Ravi"/>
    <n v="36"/>
    <n v="45"/>
    <n v="630"/>
    <s v="Delivered"/>
    <n v="4.5"/>
  </r>
  <r>
    <s v="O1043"/>
    <s v="C1043"/>
    <s v="R003"/>
    <x v="2"/>
    <x v="0"/>
    <d v="2026-09-12T00:00:00"/>
    <d v="2026-09-12T00:00:00"/>
    <s v="Saturday"/>
    <s v="Mehul"/>
    <n v="41"/>
    <n v="55"/>
    <n v="790"/>
    <s v="Delivered"/>
    <n v="4"/>
  </r>
  <r>
    <s v="O1044"/>
    <s v="C1044"/>
    <s v="R004"/>
    <x v="3"/>
    <x v="1"/>
    <d v="2026-09-13T00:00:00"/>
    <d v="2026-09-13T00:00:00"/>
    <s v="Sunday"/>
    <s v="Jay"/>
    <n v="28"/>
    <n v="30"/>
    <n v="360"/>
    <s v="Delivered"/>
    <n v="5"/>
  </r>
  <r>
    <s v="O1045"/>
    <s v="C1045"/>
    <s v="R005"/>
    <x v="4"/>
    <x v="2"/>
    <d v="2026-09-14T00:00:00"/>
    <d v="2026-09-14T00:00:00"/>
    <s v="Monday"/>
    <s v="Aman"/>
    <n v="33"/>
    <n v="40"/>
    <n v="910"/>
    <s v="Delivered"/>
    <n v="4.5"/>
  </r>
  <r>
    <s v="O1046"/>
    <s v="C1046"/>
    <s v="R006"/>
    <x v="5"/>
    <x v="3"/>
    <d v="2026-09-15T00:00:00"/>
    <d v="2026-09-15T00:00:00"/>
    <s v="Tuesday"/>
    <s v="Raj"/>
    <n v="45"/>
    <n v="60"/>
    <n v="650"/>
    <s v="Delayed"/>
    <n v="3.5"/>
  </r>
  <r>
    <s v="O1047"/>
    <s v="C1047"/>
    <s v="R007"/>
    <x v="6"/>
    <x v="4"/>
    <d v="2026-09-16T00:00:00"/>
    <d v="2026-09-16T00:00:00"/>
    <s v="Wednesday"/>
    <s v="Unassigned"/>
    <n v="26"/>
    <n v="30"/>
    <n v="520"/>
    <s v="Delivered"/>
    <n v="4"/>
  </r>
  <r>
    <s v="O1048"/>
    <s v="C1048"/>
    <s v="R008"/>
    <x v="7"/>
    <x v="5"/>
    <d v="2026-09-17T00:00:00"/>
    <d v="2026-09-17T00:00:00"/>
    <s v="Thursday"/>
    <s v="Priya"/>
    <n v="38"/>
    <n v="45"/>
    <n v="440"/>
    <s v="Delivered"/>
    <n v="4.5"/>
  </r>
  <r>
    <s v="O1049"/>
    <s v="C1049"/>
    <s v="R009"/>
    <x v="8"/>
    <x v="0"/>
    <d v="2026-09-18T00:00:00"/>
    <d v="2026-09-18T00:00:00"/>
    <s v="Friday"/>
    <s v="Karan"/>
    <n v="29"/>
    <n v="35"/>
    <n v="700"/>
    <s v="Delivered"/>
    <n v="5"/>
  </r>
  <r>
    <s v="O1050"/>
    <s v="C1050"/>
    <s v="R010"/>
    <x v="9"/>
    <x v="1"/>
    <d v="2026-09-19T00:00:00"/>
    <d v="2026-09-19T00:00:00"/>
    <s v="Saturday"/>
    <s v="Ravi"/>
    <n v="40"/>
    <n v="50"/>
    <n v="580"/>
    <s v="Delivered"/>
    <n v="4"/>
  </r>
  <r>
    <s v="O1051"/>
    <s v="C1051"/>
    <s v="R011"/>
    <x v="10"/>
    <x v="2"/>
    <d v="2026-09-20T00:00:00"/>
    <d v="2026-09-20T00:00:00"/>
    <s v="Sunday"/>
    <s v="Mehul"/>
    <n v="31"/>
    <n v="40"/>
    <n v="970"/>
    <s v="Delivered"/>
    <n v="4.5"/>
  </r>
  <r>
    <s v="O1052"/>
    <s v="C1052"/>
    <s v="R012"/>
    <x v="11"/>
    <x v="3"/>
    <d v="2026-09-21T00:00:00"/>
    <d v="2026-09-21T00:00:00"/>
    <s v="Monday"/>
    <s v="Jay"/>
    <n v="35"/>
    <n v="45"/>
    <n v="400"/>
    <s v="Delivered"/>
    <n v="4"/>
  </r>
  <r>
    <s v="O1053"/>
    <s v="C1053"/>
    <s v="R013"/>
    <x v="12"/>
    <x v="4"/>
    <d v="2026-09-22T00:00:00"/>
    <d v="2026-09-22T00:00:00"/>
    <s v="Tuesday"/>
    <s v="Aman"/>
    <n v="27"/>
    <n v="30"/>
    <n v="760"/>
    <s v="Delivered"/>
    <n v="5"/>
  </r>
  <r>
    <s v="O1054"/>
    <s v="C1054"/>
    <s v="R014"/>
    <x v="13"/>
    <x v="5"/>
    <d v="2026-09-23T00:00:00"/>
    <d v="2026-09-23T00:00:00"/>
    <s v="Wednesday"/>
    <s v="Raj"/>
    <n v="43"/>
    <n v="60"/>
    <n v="500"/>
    <s v="Delayed"/>
    <n v="3.5"/>
  </r>
  <r>
    <s v="O1055"/>
    <s v="C1055"/>
    <s v="R015"/>
    <x v="14"/>
    <x v="0"/>
    <d v="2026-09-24T00:00:00"/>
    <d v="2026-09-24T00:00:00"/>
    <s v="Thursday"/>
    <s v="Priya"/>
    <n v="30"/>
    <n v="40"/>
    <n v="860"/>
    <s v="Delivered"/>
    <n v="4"/>
  </r>
  <r>
    <s v="O1056"/>
    <s v="C1056"/>
    <s v="R016"/>
    <x v="15"/>
    <x v="1"/>
    <d v="2026-09-25T00:00:00"/>
    <d v="2026-09-25T00:00:00"/>
    <s v="Friday"/>
    <s v="Unassigned"/>
    <n v="25"/>
    <n v="30"/>
    <n v="620"/>
    <s v="Delivered"/>
    <n v="4.5"/>
  </r>
  <r>
    <s v="O1057"/>
    <s v="C1057"/>
    <s v="R017"/>
    <x v="16"/>
    <x v="2"/>
    <d v="2026-09-26T00:00:00"/>
    <d v="2026-09-26T00:00:00"/>
    <s v="Saturday"/>
    <s v="Karan"/>
    <n v="34"/>
    <n v="40"/>
    <n v="340"/>
    <s v="Delivered"/>
    <n v="5"/>
  </r>
  <r>
    <s v="O1058"/>
    <s v="C1058"/>
    <s v="R018"/>
    <x v="17"/>
    <x v="3"/>
    <d v="2026-09-27T00:00:00"/>
    <d v="2026-09-27T00:00:00"/>
    <s v="Sunday"/>
    <s v="Ravi"/>
    <n v="39"/>
    <n v="50"/>
    <n v="930"/>
    <s v="Delivered"/>
    <n v="4"/>
  </r>
  <r>
    <s v="O1059"/>
    <s v="C1059"/>
    <s v="R019"/>
    <x v="18"/>
    <x v="4"/>
    <d v="2026-09-28T00:00:00"/>
    <d v="2026-09-28T00:00:00"/>
    <s v="Monday"/>
    <s v="Mehul"/>
    <n v="28"/>
    <n v="35"/>
    <n v="710"/>
    <s v="Delivered"/>
    <n v="4.5"/>
  </r>
  <r>
    <s v="O1060"/>
    <s v="C1060"/>
    <s v="R020"/>
    <x v="19"/>
    <x v="5"/>
    <d v="2026-09-29T00:00:00"/>
    <d v="2026-09-29T00:00:00"/>
    <s v="Tuesday"/>
    <s v="Jay"/>
    <n v="46"/>
    <n v="65"/>
    <n v="560"/>
    <s v="Delayed"/>
    <n v="3"/>
  </r>
  <r>
    <s v="O1061"/>
    <s v="C1061"/>
    <s v="R001"/>
    <x v="0"/>
    <x v="0"/>
    <d v="2026-09-30T00:00:00"/>
    <d v="2026-09-30T00:00:00"/>
    <s v="Wednesday"/>
    <s v="Aman"/>
    <n v="31"/>
    <n v="40"/>
    <n v="480"/>
    <s v="Delivered"/>
    <n v="4"/>
  </r>
  <r>
    <s v="O1062"/>
    <s v="C1062"/>
    <s v="R002"/>
    <x v="1"/>
    <x v="1"/>
    <d v="2026-10-01T00:00:00"/>
    <d v="2026-10-01T00:00:00"/>
    <s v="Thursday"/>
    <s v="Raj"/>
    <n v="29"/>
    <n v="35"/>
    <n v="650"/>
    <s v="Delivered"/>
    <n v="4.5"/>
  </r>
  <r>
    <s v="O1063"/>
    <s v="C1063"/>
    <s v="R003"/>
    <x v="2"/>
    <x v="2"/>
    <d v="2026-10-02T00:00:00"/>
    <d v="2026-10-02T00:00:00"/>
    <s v="Friday"/>
    <s v="Priya"/>
    <n v="37"/>
    <n v="50"/>
    <n v="810"/>
    <s v="Delivered"/>
    <n v="4"/>
  </r>
  <r>
    <s v="O1064"/>
    <s v="C1064"/>
    <s v="R004"/>
    <x v="3"/>
    <x v="3"/>
    <d v="2026-10-03T00:00:00"/>
    <d v="2026-10-03T00:00:00"/>
    <s v="Saturday"/>
    <s v="Karan"/>
    <n v="24"/>
    <n v="30"/>
    <n v="380"/>
    <s v="Delivered"/>
    <n v="5"/>
  </r>
  <r>
    <s v="O1065"/>
    <s v="C1065"/>
    <s v="R005"/>
    <x v="4"/>
    <x v="4"/>
    <d v="2026-10-04T00:00:00"/>
    <d v="2026-10-04T00:00:00"/>
    <s v="Sunday"/>
    <s v="Ravi"/>
    <n v="34"/>
    <n v="45"/>
    <n v="940"/>
    <s v="Delivered"/>
    <n v="4.5"/>
  </r>
  <r>
    <s v="O1066"/>
    <s v="C1066"/>
    <s v="R006"/>
    <x v="5"/>
    <x v="5"/>
    <d v="2026-10-05T00:00:00"/>
    <d v="2026-10-05T00:00:00"/>
    <s v="Monday"/>
    <s v="Mehul"/>
    <n v="41"/>
    <n v="55"/>
    <n v="670"/>
    <s v="Delivered"/>
    <n v="4"/>
  </r>
  <r>
    <s v="O1067"/>
    <s v="C1067"/>
    <s v="R007"/>
    <x v="6"/>
    <x v="0"/>
    <d v="2026-10-06T00:00:00"/>
    <d v="2026-10-06T00:00:00"/>
    <s v="Tuesday"/>
    <s v="Unassigned"/>
    <n v="27"/>
    <n v="30"/>
    <n v="530"/>
    <s v="Delivered"/>
    <n v="4.5"/>
  </r>
  <r>
    <s v="O1068"/>
    <s v="C1068"/>
    <s v="R008"/>
    <x v="7"/>
    <x v="1"/>
    <d v="2026-10-07T00:00:00"/>
    <d v="2026-10-07T00:00:00"/>
    <s v="Wednesday"/>
    <s v="Jay"/>
    <n v="36"/>
    <n v="45"/>
    <n v="450"/>
    <s v="Delivered"/>
    <n v="4"/>
  </r>
  <r>
    <s v="O1069"/>
    <s v="C1069"/>
    <s v="R009"/>
    <x v="8"/>
    <x v="2"/>
    <d v="2026-10-08T00:00:00"/>
    <d v="2026-10-08T00:00:00"/>
    <s v="Thursday"/>
    <s v="Aman"/>
    <n v="30"/>
    <n v="35"/>
    <n v="690"/>
    <s v="Delivered"/>
    <n v="5"/>
  </r>
  <r>
    <s v="O1070"/>
    <s v="C1070"/>
    <s v="R010"/>
    <x v="9"/>
    <x v="3"/>
    <d v="2026-10-09T00:00:00"/>
    <d v="2026-10-09T00:00:00"/>
    <s v="Friday"/>
    <s v="Raj"/>
    <n v="44"/>
    <n v="60"/>
    <n v="590"/>
    <s v="Delayed"/>
    <n v="3.5"/>
  </r>
  <r>
    <s v="O1071"/>
    <s v="C1071"/>
    <s v="R011"/>
    <x v="10"/>
    <x v="4"/>
    <d v="2026-10-10T00:00:00"/>
    <d v="2026-10-10T00:00:00"/>
    <s v="Saturday"/>
    <s v="Priya"/>
    <n v="32"/>
    <n v="40"/>
    <n v="980"/>
    <s v="Delivered"/>
    <n v="4.5"/>
  </r>
  <r>
    <s v="O1072"/>
    <s v="C1072"/>
    <s v="R012"/>
    <x v="11"/>
    <x v="5"/>
    <d v="2026-10-11T00:00:00"/>
    <d v="2026-10-11T00:00:00"/>
    <s v="Sunday"/>
    <s v="Karan"/>
    <n v="28"/>
    <n v="35"/>
    <n v="420"/>
    <s v="Delivered"/>
    <n v="4"/>
  </r>
  <r>
    <s v="O1073"/>
    <s v="C1073"/>
    <s v="R013"/>
    <x v="12"/>
    <x v="0"/>
    <d v="2026-10-12T00:00:00"/>
    <d v="2026-10-12T00:00:00"/>
    <s v="Monday"/>
    <s v="Ravi"/>
    <n v="35"/>
    <n v="45"/>
    <n v="770"/>
    <s v="Delivered"/>
    <n v="5"/>
  </r>
  <r>
    <s v="O1074"/>
    <s v="C1074"/>
    <s v="R014"/>
    <x v="13"/>
    <x v="1"/>
    <d v="2026-10-13T00:00:00"/>
    <d v="2026-10-13T00:00:00"/>
    <s v="Tuesday"/>
    <s v="Mehul"/>
    <n v="40"/>
    <n v="50"/>
    <n v="510"/>
    <s v="Delivered"/>
    <n v="4"/>
  </r>
  <r>
    <s v="O1075"/>
    <s v="C1075"/>
    <s v="R015"/>
    <x v="14"/>
    <x v="2"/>
    <d v="2026-10-14T00:00:00"/>
    <d v="2026-10-14T00:00:00"/>
    <s v="Wednesday"/>
    <s v="Jay"/>
    <n v="29"/>
    <n v="35"/>
    <n v="870"/>
    <s v="Delivered"/>
    <n v="4.5"/>
  </r>
  <r>
    <s v="O1076"/>
    <s v="C1076"/>
    <s v="R016"/>
    <x v="15"/>
    <x v="3"/>
    <d v="2026-10-15T00:00:00"/>
    <d v="2026-10-15T00:00:00"/>
    <s v="Thursday"/>
    <s v="Aman"/>
    <n v="33"/>
    <n v="40"/>
    <n v="630"/>
    <s v="Delivered"/>
    <n v="4"/>
  </r>
  <r>
    <s v="O1077"/>
    <s v="C1077"/>
    <s v="R017"/>
    <x v="16"/>
    <x v="4"/>
    <d v="2026-10-16T00:00:00"/>
    <d v="2026-10-16T00:00:00"/>
    <s v="Friday"/>
    <s v="Unassigned"/>
    <n v="26"/>
    <n v="30"/>
    <n v="350"/>
    <s v="Delivered"/>
    <n v="5"/>
  </r>
  <r>
    <s v="O1078"/>
    <s v="C1078"/>
    <s v="R018"/>
    <x v="17"/>
    <x v="5"/>
    <d v="2026-10-17T00:00:00"/>
    <d v="2026-10-17T00:00:00"/>
    <s v="Saturday"/>
    <s v="Raj"/>
    <n v="42"/>
    <n v="55"/>
    <n v="950"/>
    <s v="Delayed"/>
    <n v="3"/>
  </r>
  <r>
    <s v="O1079"/>
    <s v="C1079"/>
    <s v="R019"/>
    <x v="18"/>
    <x v="0"/>
    <d v="2026-10-18T00:00:00"/>
    <d v="2026-10-18T00:00:00"/>
    <s v="Sunday"/>
    <s v="Priya"/>
    <n v="31"/>
    <n v="40"/>
    <n v="720"/>
    <s v="Delivered"/>
    <n v="4.5"/>
  </r>
  <r>
    <s v="O1080"/>
    <s v="C1080"/>
    <s v="R020"/>
    <x v="19"/>
    <x v="1"/>
    <d v="2026-10-19T00:00:00"/>
    <d v="2026-10-19T00:00:00"/>
    <s v="Monday"/>
    <s v="Karan"/>
    <n v="38"/>
    <n v="50"/>
    <n v="570"/>
    <s v="Delivered"/>
    <n v="4"/>
  </r>
  <r>
    <s v="O1081"/>
    <s v="C1081"/>
    <s v="R001"/>
    <x v="0"/>
    <x v="2"/>
    <d v="2026-10-20T00:00:00"/>
    <d v="2026-10-20T00:00:00"/>
    <s v="Tuesday"/>
    <s v="Ravi"/>
    <n v="27"/>
    <n v="30"/>
    <n v="490"/>
    <s v="Delivered"/>
    <n v="4.5"/>
  </r>
  <r>
    <s v="O1082"/>
    <s v="C1082"/>
    <s v="R002"/>
    <x v="1"/>
    <x v="3"/>
    <d v="2026-10-21T00:00:00"/>
    <d v="2026-10-21T00:00:00"/>
    <s v="Wednesday"/>
    <s v="Mehul"/>
    <n v="34"/>
    <n v="40"/>
    <n v="660"/>
    <s v="Delivered"/>
    <n v="4"/>
  </r>
  <r>
    <s v="O1083"/>
    <s v="C1083"/>
    <s v="R003"/>
    <x v="2"/>
    <x v="4"/>
    <d v="2026-10-22T00:00:00"/>
    <d v="2026-10-22T00:00:00"/>
    <s v="Thursday"/>
    <s v="Jay"/>
    <n v="45"/>
    <n v="65"/>
    <n v="820"/>
    <s v="Delayed"/>
    <n v="3.5"/>
  </r>
  <r>
    <s v="O1084"/>
    <s v="C1084"/>
    <s v="R004"/>
    <x v="3"/>
    <x v="5"/>
    <d v="2026-10-23T00:00:00"/>
    <d v="2026-10-23T00:00:00"/>
    <s v="Friday"/>
    <s v="Aman"/>
    <n v="29"/>
    <n v="35"/>
    <n v="390"/>
    <s v="Delivered"/>
    <n v="5"/>
  </r>
  <r>
    <s v="O1085"/>
    <s v="C1085"/>
    <s v="R005"/>
    <x v="4"/>
    <x v="0"/>
    <d v="2026-10-24T00:00:00"/>
    <d v="2026-10-24T00:00:00"/>
    <s v="Saturday"/>
    <s v="Raj"/>
    <n v="32"/>
    <n v="40"/>
    <n v="960"/>
    <s v="Delivered"/>
    <n v="4.5"/>
  </r>
  <r>
    <s v="O1086"/>
    <s v="C1086"/>
    <s v="R006"/>
    <x v="5"/>
    <x v="1"/>
    <d v="2026-10-25T00:00:00"/>
    <d v="2026-10-25T00:00:00"/>
    <s v="Sunday"/>
    <s v="Priya"/>
    <n v="39"/>
    <n v="50"/>
    <n v="680"/>
    <s v="Delivered"/>
    <n v="4"/>
  </r>
  <r>
    <s v="O1087"/>
    <s v="C1087"/>
    <s v="R007"/>
    <x v="6"/>
    <x v="2"/>
    <d v="2026-10-26T00:00:00"/>
    <d v="2026-10-26T00:00:00"/>
    <s v="Monday"/>
    <s v="Karan"/>
    <n v="25"/>
    <n v="30"/>
    <n v="540"/>
    <s v="Delivered"/>
    <n v="4.5"/>
  </r>
  <r>
    <s v="O1088"/>
    <s v="C1088"/>
    <s v="R008"/>
    <x v="7"/>
    <x v="3"/>
    <d v="2026-10-27T00:00:00"/>
    <d v="2026-10-27T00:00:00"/>
    <s v="Tuesday"/>
    <s v="Ravi"/>
    <n v="37"/>
    <n v="45"/>
    <n v="460"/>
    <s v="Delivered"/>
    <n v="4"/>
  </r>
  <r>
    <s v="O1089"/>
    <s v="C1089"/>
    <s v="R009"/>
    <x v="8"/>
    <x v="4"/>
    <d v="2026-10-28T00:00:00"/>
    <d v="2026-10-28T00:00:00"/>
    <s v="Wednesday"/>
    <s v="Mehul"/>
    <n v="30"/>
    <n v="35"/>
    <n v="730"/>
    <s v="Delivered"/>
    <n v="5"/>
  </r>
  <r>
    <s v="O1090"/>
    <s v="C1090"/>
    <s v="R010"/>
    <x v="9"/>
    <x v="5"/>
    <d v="2026-10-29T00:00:00"/>
    <d v="2026-10-29T00:00:00"/>
    <s v="Thursday"/>
    <s v="Unassigned"/>
    <n v="43"/>
    <n v="60"/>
    <n v="600"/>
    <s v="Delayed"/>
    <n v="3"/>
  </r>
  <r>
    <s v="O1091"/>
    <s v="C1091"/>
    <s v="R011"/>
    <x v="10"/>
    <x v="0"/>
    <d v="2026-10-30T00:00:00"/>
    <d v="2026-10-30T00:00:00"/>
    <s v="Friday"/>
    <s v="Jay"/>
    <n v="28"/>
    <n v="35"/>
    <n v="990"/>
    <s v="Delivered"/>
    <n v="4.5"/>
  </r>
  <r>
    <s v="O1092"/>
    <s v="C1092"/>
    <s v="R012"/>
    <x v="11"/>
    <x v="1"/>
    <d v="2026-10-31T00:00:00"/>
    <d v="2026-10-31T00:00:00"/>
    <s v="Saturday"/>
    <s v="Aman"/>
    <n v="36"/>
    <n v="45"/>
    <n v="430"/>
    <s v="Delivered"/>
    <n v="4"/>
  </r>
  <r>
    <s v="O1093"/>
    <s v="C1093"/>
    <s v="R013"/>
    <x v="12"/>
    <x v="2"/>
    <d v="2026-11-01T00:00:00"/>
    <d v="2026-11-01T00:00:00"/>
    <s v="Sunday"/>
    <s v="Raj"/>
    <n v="31"/>
    <n v="40"/>
    <n v="790"/>
    <s v="Delivered"/>
    <n v="5"/>
  </r>
  <r>
    <s v="O1094"/>
    <s v="C1094"/>
    <s v="R014"/>
    <x v="13"/>
    <x v="3"/>
    <d v="2026-11-02T00:00:00"/>
    <d v="2026-11-02T00:00:00"/>
    <s v="Monday"/>
    <s v="Priya"/>
    <n v="41"/>
    <n v="55"/>
    <n v="520"/>
    <s v="Delivered"/>
    <n v="4"/>
  </r>
  <r>
    <s v="O1095"/>
    <s v="C1095"/>
    <s v="R015"/>
    <x v="14"/>
    <x v="4"/>
    <d v="2026-11-03T00:00:00"/>
    <d v="2026-11-03T00:00:00"/>
    <s v="Tuesday"/>
    <s v="Karan"/>
    <n v="27"/>
    <n v="30"/>
    <n v="890"/>
    <s v="Delivered"/>
    <n v="4.5"/>
  </r>
  <r>
    <s v="O1096"/>
    <s v="C1096"/>
    <s v="R016"/>
    <x v="15"/>
    <x v="5"/>
    <d v="2026-11-04T00:00:00"/>
    <d v="2026-11-04T00:00:00"/>
    <s v="Wednesday"/>
    <s v="Ravi"/>
    <n v="34"/>
    <n v="40"/>
    <n v="650"/>
    <s v="Delivered"/>
    <n v="4"/>
  </r>
  <r>
    <s v="O1097"/>
    <s v="C1097"/>
    <s v="R017"/>
    <x v="16"/>
    <x v="0"/>
    <d v="2026-11-05T00:00:00"/>
    <d v="2026-11-05T00:00:00"/>
    <s v="Thursday"/>
    <s v="Mehul"/>
    <n v="24"/>
    <n v="30"/>
    <n v="360"/>
    <s v="Delivered"/>
    <n v="5"/>
  </r>
  <r>
    <s v="O1098"/>
    <s v="C1098"/>
    <s v="R018"/>
    <x v="17"/>
    <x v="1"/>
    <d v="2026-11-06T00:00:00"/>
    <d v="2026-11-06T00:00:00"/>
    <s v="Friday"/>
    <s v="Jay"/>
    <n v="40"/>
    <n v="50"/>
    <n v="970"/>
    <s v="Delayed"/>
    <n v="3.5"/>
  </r>
  <r>
    <s v="O1099"/>
    <s v="C1099"/>
    <s v="R019"/>
    <x v="18"/>
    <x v="2"/>
    <d v="2026-11-07T00:00:00"/>
    <d v="2026-11-07T00:00:00"/>
    <s v="Saturday"/>
    <s v="Aman"/>
    <n v="29"/>
    <n v="35"/>
    <n v="740"/>
    <s v="Delivered"/>
    <n v="4.5"/>
  </r>
  <r>
    <s v="O1100"/>
    <s v="C1100"/>
    <s v="R020"/>
    <x v="19"/>
    <x v="3"/>
    <d v="2026-11-08T00:00:00"/>
    <d v="2026-11-08T00:00:00"/>
    <s v="Sunday"/>
    <s v="Raj"/>
    <n v="38"/>
    <n v="50"/>
    <n v="580"/>
    <s v="Delivered"/>
    <n v="4"/>
  </r>
  <r>
    <s v="O1101"/>
    <s v="C1101"/>
    <s v="R001"/>
    <x v="0"/>
    <x v="4"/>
    <d v="2026-11-09T00:00:00"/>
    <d v="2026-11-09T00:00:00"/>
    <s v="Monday"/>
    <s v="Priya"/>
    <n v="33"/>
    <n v="40"/>
    <n v="500"/>
    <s v="Delivered"/>
    <n v="4.5"/>
  </r>
  <r>
    <s v="O1102"/>
    <s v="C1102"/>
    <s v="R002"/>
    <x v="1"/>
    <x v="5"/>
    <d v="2026-11-10T00:00:00"/>
    <d v="2026-11-10T00:00:00"/>
    <s v="Tuesday"/>
    <s v="Karan"/>
    <n v="26"/>
    <n v="30"/>
    <n v="670"/>
    <s v="Delivered"/>
    <n v="5"/>
  </r>
  <r>
    <s v="O1103"/>
    <s v="C1103"/>
    <s v="R003"/>
    <x v="2"/>
    <x v="0"/>
    <d v="2026-11-11T00:00:00"/>
    <d v="2026-11-11T00:00:00"/>
    <s v="Wednesday"/>
    <s v="Ravi"/>
    <n v="39"/>
    <n v="50"/>
    <n v="840"/>
    <s v="Delivered"/>
    <n v="4"/>
  </r>
  <r>
    <s v="O1104"/>
    <s v="C1104"/>
    <s v="R004"/>
    <x v="3"/>
    <x v="1"/>
    <d v="2026-11-12T00:00:00"/>
    <d v="2026-11-12T00:00:00"/>
    <s v="Thursday"/>
    <s v="Unassigned"/>
    <n v="28"/>
    <n v="35"/>
    <n v="410"/>
    <s v="Delivered"/>
    <n v="4.5"/>
  </r>
  <r>
    <s v="O1105"/>
    <s v="C1105"/>
    <s v="R005"/>
    <x v="4"/>
    <x v="2"/>
    <d v="2026-11-13T00:00:00"/>
    <d v="2026-11-13T00:00:00"/>
    <s v="Friday"/>
    <s v="Mehul"/>
    <n v="35"/>
    <n v="45"/>
    <n v="930"/>
    <s v="Delivered"/>
    <n v="4"/>
  </r>
  <r>
    <s v="O1106"/>
    <s v="C1106"/>
    <s v="R006"/>
    <x v="5"/>
    <x v="3"/>
    <d v="2026-11-14T00:00:00"/>
    <d v="2026-11-14T00:00:00"/>
    <s v="Saturday"/>
    <s v="Jay"/>
    <n v="44"/>
    <n v="60"/>
    <n v="700"/>
    <s v="Delayed"/>
    <n v="3"/>
  </r>
  <r>
    <s v="O1107"/>
    <s v="C1107"/>
    <s v="R007"/>
    <x v="6"/>
    <x v="4"/>
    <d v="2026-11-15T00:00:00"/>
    <d v="2026-11-15T00:00:00"/>
    <s v="Sunday"/>
    <s v="Aman"/>
    <n v="30"/>
    <n v="35"/>
    <n v="550"/>
    <s v="Delivered"/>
    <n v="4.5"/>
  </r>
  <r>
    <s v="O1108"/>
    <s v="C1108"/>
    <s v="R008"/>
    <x v="7"/>
    <x v="5"/>
    <d v="2026-11-16T00:00:00"/>
    <d v="2026-11-16T00:00:00"/>
    <s v="Monday"/>
    <s v="Raj"/>
    <n v="32"/>
    <n v="40"/>
    <n v="470"/>
    <s v="Delivered"/>
    <n v="4"/>
  </r>
  <r>
    <s v="O1109"/>
    <s v="C1109"/>
    <s v="R009"/>
    <x v="8"/>
    <x v="0"/>
    <d v="2026-11-17T00:00:00"/>
    <d v="2026-11-17T00:00:00"/>
    <s v="Tuesday"/>
    <s v="Priya"/>
    <n v="27"/>
    <n v="30"/>
    <n v="760"/>
    <s v="Delivered"/>
    <n v="5"/>
  </r>
  <r>
    <s v="O1110"/>
    <s v="C1110"/>
    <s v="R010"/>
    <x v="9"/>
    <x v="1"/>
    <d v="2026-11-18T00:00:00"/>
    <d v="2026-11-18T00:00:00"/>
    <s v="Wednesday"/>
    <s v="Karan"/>
    <n v="41"/>
    <n v="55"/>
    <n v="610"/>
    <s v="Delivered"/>
    <n v="3.5"/>
  </r>
  <r>
    <s v="O1111"/>
    <s v="C1111"/>
    <s v="R011"/>
    <x v="10"/>
    <x v="2"/>
    <d v="2026-11-19T00:00:00"/>
    <d v="2026-11-19T00:00:00"/>
    <s v="Thursday"/>
    <s v="Ravi"/>
    <n v="34"/>
    <n v="40"/>
    <n v="1000"/>
    <s v="Delivered"/>
    <n v="4.5"/>
  </r>
  <r>
    <s v="O1112"/>
    <s v="C1112"/>
    <s v="R012"/>
    <x v="11"/>
    <x v="3"/>
    <d v="2026-11-20T00:00:00"/>
    <d v="2026-11-20T00:00:00"/>
    <s v="Friday"/>
    <s v="Mehul"/>
    <n v="29"/>
    <n v="35"/>
    <n v="440"/>
    <s v="Delivered"/>
    <n v="4"/>
  </r>
  <r>
    <s v="O1113"/>
    <s v="C1113"/>
    <s v="R013"/>
    <x v="12"/>
    <x v="4"/>
    <d v="2026-11-21T00:00:00"/>
    <d v="2026-11-21T00:00:00"/>
    <s v="Saturday"/>
    <s v="Jay"/>
    <n v="36"/>
    <n v="45"/>
    <n v="810"/>
    <s v="Delivered"/>
    <n v="5"/>
  </r>
  <r>
    <s v="O1114"/>
    <s v="C1114"/>
    <s v="R014"/>
    <x v="13"/>
    <x v="5"/>
    <d v="2026-11-22T00:00:00"/>
    <d v="2026-11-22T00:00:00"/>
    <s v="Sunday"/>
    <s v="Aman"/>
    <n v="43"/>
    <n v="60"/>
    <n v="530"/>
    <s v="Delayed"/>
    <n v="3"/>
  </r>
  <r>
    <s v="O1115"/>
    <s v="C1115"/>
    <s v="R015"/>
    <x v="14"/>
    <x v="0"/>
    <d v="2026-11-23T00:00:00"/>
    <d v="2026-11-23T00:00:00"/>
    <s v="Monday"/>
    <s v="Raj"/>
    <n v="31"/>
    <n v="40"/>
    <n v="900"/>
    <s v="Delivered"/>
    <n v="4.5"/>
  </r>
  <r>
    <s v="O1116"/>
    <s v="C1116"/>
    <s v="R016"/>
    <x v="15"/>
    <x v="1"/>
    <d v="2026-11-24T00:00:00"/>
    <d v="2026-11-24T00:00:00"/>
    <s v="Tuesday"/>
    <s v="Unassigned"/>
    <n v="25"/>
    <n v="30"/>
    <n v="640"/>
    <s v="Delivered"/>
    <n v="4"/>
  </r>
  <r>
    <s v="O1117"/>
    <s v="C1117"/>
    <s v="R017"/>
    <x v="16"/>
    <x v="2"/>
    <d v="2026-11-25T00:00:00"/>
    <d v="2026-11-25T00:00:00"/>
    <s v="Wednesday"/>
    <s v="Priya"/>
    <n v="33"/>
    <n v="40"/>
    <n v="370"/>
    <s v="Delivered"/>
    <n v="5"/>
  </r>
  <r>
    <s v="O1118"/>
    <s v="C1118"/>
    <s v="R018"/>
    <x v="17"/>
    <x v="3"/>
    <d v="2026-11-26T00:00:00"/>
    <d v="2026-11-26T00:00:00"/>
    <s v="Thursday"/>
    <s v="Karan"/>
    <n v="38"/>
    <n v="50"/>
    <n v="980"/>
    <s v="Delivered"/>
    <n v="4"/>
  </r>
  <r>
    <s v="O1119"/>
    <s v="C1119"/>
    <s v="R019"/>
    <x v="18"/>
    <x v="4"/>
    <d v="2026-11-27T00:00:00"/>
    <d v="2026-11-27T00:00:00"/>
    <s v="Friday"/>
    <s v="Ravi"/>
    <n v="28"/>
    <n v="35"/>
    <n v="750"/>
    <s v="Delivered"/>
    <n v="4.5"/>
  </r>
  <r>
    <s v="O1120"/>
    <s v="C1120"/>
    <s v="R020"/>
    <x v="19"/>
    <x v="5"/>
    <d v="2026-11-28T00:00:00"/>
    <d v="2026-11-28T00:00:00"/>
    <s v="Saturday"/>
    <s v="Mehul"/>
    <n v="46"/>
    <n v="65"/>
    <n v="590"/>
    <s v="Delayed"/>
    <n v="3.5"/>
  </r>
  <r>
    <s v="O1121"/>
    <s v="C1001"/>
    <s v="R001"/>
    <x v="0"/>
    <x v="0"/>
    <d v="2026-11-29T00:00:00"/>
    <d v="2026-11-29T00:00:00"/>
    <s v="Sunday"/>
    <s v="Jay"/>
    <n v="30"/>
    <n v="35"/>
    <n v="520"/>
    <s v="Delivered"/>
    <n v="4.5"/>
  </r>
  <r>
    <s v="O1122"/>
    <s v="C1002"/>
    <s v="R002"/>
    <x v="1"/>
    <x v="1"/>
    <d v="2026-11-30T00:00:00"/>
    <d v="2026-11-30T00:00:00"/>
    <s v="Monday"/>
    <s v="Aman"/>
    <n v="37"/>
    <n v="45"/>
    <n v="680"/>
    <s v="Delivered"/>
    <n v="4"/>
  </r>
  <r>
    <s v="O1123"/>
    <s v="C1003"/>
    <s v="R003"/>
    <x v="2"/>
    <x v="2"/>
    <d v="2026-12-01T00:00:00"/>
    <d v="2026-12-01T00:00:00"/>
    <s v="Tuesday"/>
    <s v="Raj"/>
    <n v="42"/>
    <n v="55"/>
    <n v="860"/>
    <s v="Delivered"/>
    <n v="4.5"/>
  </r>
  <r>
    <s v="O1124"/>
    <s v="C1004"/>
    <s v="R004"/>
    <x v="3"/>
    <x v="3"/>
    <d v="2026-12-02T00:00:00"/>
    <d v="2026-12-02T00:00:00"/>
    <s v="Wednesday"/>
    <s v="Priya"/>
    <n v="27"/>
    <n v="30"/>
    <n v="400"/>
    <s v="Delivered"/>
    <n v="5"/>
  </r>
  <r>
    <s v="O1125"/>
    <s v="C1005"/>
    <s v="R005"/>
    <x v="4"/>
    <x v="4"/>
    <d v="2026-12-03T00:00:00"/>
    <d v="2026-12-03T00:00:00"/>
    <s v="Thursday"/>
    <s v="Karan"/>
    <n v="35"/>
    <n v="45"/>
    <n v="950"/>
    <s v="Delivered"/>
    <n v="4"/>
  </r>
  <r>
    <s v="O1126"/>
    <s v="C1006"/>
    <s v="R006"/>
    <x v="5"/>
    <x v="5"/>
    <d v="2026-12-04T00:00:00"/>
    <d v="2026-12-04T00:00:00"/>
    <s v="Friday"/>
    <s v="Ravi"/>
    <n v="40"/>
    <n v="50"/>
    <n v="690"/>
    <s v="Delivered"/>
    <n v="4.5"/>
  </r>
  <r>
    <s v="O1127"/>
    <s v="C1007"/>
    <s v="R007"/>
    <x v="6"/>
    <x v="0"/>
    <d v="2026-12-05T00:00:00"/>
    <d v="2026-12-05T00:00:00"/>
    <s v="Saturday"/>
    <s v="Unassigned"/>
    <n v="26"/>
    <n v="30"/>
    <n v="560"/>
    <s v="Delivered"/>
    <n v="4"/>
  </r>
  <r>
    <s v="O1128"/>
    <s v="C1008"/>
    <s v="R008"/>
    <x v="7"/>
    <x v="1"/>
    <d v="2026-12-06T00:00:00"/>
    <d v="2026-12-06T00:00:00"/>
    <s v="Sunday"/>
    <s v="Mehul"/>
    <n v="34"/>
    <n v="40"/>
    <n v="480"/>
    <s v="Delivered"/>
    <n v="4.5"/>
  </r>
  <r>
    <s v="O1129"/>
    <s v="C1009"/>
    <s v="R009"/>
    <x v="8"/>
    <x v="2"/>
    <d v="2026-12-07T00:00:00"/>
    <d v="2026-12-07T00:00:00"/>
    <s v="Monday"/>
    <s v="Jay"/>
    <n v="29"/>
    <n v="35"/>
    <n v="720"/>
    <s v="Delivered"/>
    <n v="5"/>
  </r>
  <r>
    <s v="O1130"/>
    <s v="C1010"/>
    <s v="R010"/>
    <x v="9"/>
    <x v="3"/>
    <d v="2026-12-08T00:00:00"/>
    <d v="2026-12-08T00:00:00"/>
    <s v="Tuesday"/>
    <s v="Aman"/>
    <n v="45"/>
    <n v="60"/>
    <n v="620"/>
    <s v="Delayed"/>
    <n v="3"/>
  </r>
  <r>
    <s v="O1131"/>
    <s v="C1011"/>
    <s v="R011"/>
    <x v="10"/>
    <x v="4"/>
    <d v="2026-12-09T00:00:00"/>
    <d v="2026-12-09T00:00:00"/>
    <s v="Wednesday"/>
    <s v="Raj"/>
    <n v="31"/>
    <n v="40"/>
    <n v="1010"/>
    <s v="Delivered"/>
    <n v="4.5"/>
  </r>
  <r>
    <s v="O1132"/>
    <s v="C1012"/>
    <s v="R012"/>
    <x v="11"/>
    <x v="5"/>
    <d v="2026-12-10T00:00:00"/>
    <d v="2026-12-10T00:00:00"/>
    <s v="Thursday"/>
    <s v="Priya"/>
    <n v="28"/>
    <n v="35"/>
    <n v="450"/>
    <s v="Delivered"/>
    <n v="4"/>
  </r>
  <r>
    <s v="O1133"/>
    <s v="C1013"/>
    <s v="R013"/>
    <x v="12"/>
    <x v="0"/>
    <d v="2026-12-11T00:00:00"/>
    <d v="2026-12-11T00:00:00"/>
    <s v="Friday"/>
    <s v="Karan"/>
    <n v="36"/>
    <n v="45"/>
    <n v="800"/>
    <s v="Delivered"/>
    <n v="5"/>
  </r>
  <r>
    <s v="O1134"/>
    <s v="C1014"/>
    <s v="R014"/>
    <x v="13"/>
    <x v="1"/>
    <d v="2026-12-12T00:00:00"/>
    <d v="2026-12-12T00:00:00"/>
    <s v="Saturday"/>
    <s v="Ravi"/>
    <n v="39"/>
    <n v="50"/>
    <n v="540"/>
    <s v="Delivered"/>
    <n v="4"/>
  </r>
  <r>
    <s v="O1135"/>
    <s v="C1015"/>
    <s v="R015"/>
    <x v="14"/>
    <x v="2"/>
    <d v="2026-12-13T00:00:00"/>
    <d v="2026-12-13T00:00:00"/>
    <s v="Sunday"/>
    <s v="Mehul"/>
    <n v="30"/>
    <n v="35"/>
    <n v="910"/>
    <s v="Delivered"/>
    <n v="4.5"/>
  </r>
  <r>
    <s v="O1136"/>
    <s v="C1016"/>
    <s v="R016"/>
    <x v="15"/>
    <x v="3"/>
    <d v="2026-12-14T00:00:00"/>
    <d v="2026-12-14T00:00:00"/>
    <s v="Monday"/>
    <s v="Jay"/>
    <n v="32"/>
    <n v="40"/>
    <n v="670"/>
    <s v="Delivered"/>
    <n v="4"/>
  </r>
  <r>
    <s v="O1137"/>
    <s v="C1017"/>
    <s v="R017"/>
    <x v="16"/>
    <x v="4"/>
    <d v="2026-12-15T00:00:00"/>
    <d v="2026-12-15T00:00:00"/>
    <s v="Tuesday"/>
    <s v="Unassigned"/>
    <n v="25"/>
    <n v="30"/>
    <n v="380"/>
    <s v="Delivered"/>
    <n v="5"/>
  </r>
  <r>
    <s v="O1138"/>
    <s v="C1018"/>
    <s v="R018"/>
    <x v="17"/>
    <x v="5"/>
    <d v="2026-12-16T00:00:00"/>
    <d v="2026-12-16T00:00:00"/>
    <s v="Wednesday"/>
    <s v="Aman"/>
    <n v="41"/>
    <n v="55"/>
    <n v="990"/>
    <s v="Delayed"/>
    <n v="3.5"/>
  </r>
  <r>
    <s v="O1139"/>
    <s v="C1019"/>
    <s v="R019"/>
    <x v="18"/>
    <x v="0"/>
    <d v="2026-12-17T00:00:00"/>
    <d v="2026-12-17T00:00:00"/>
    <s v="Thursday"/>
    <s v="Raj"/>
    <n v="28"/>
    <n v="35"/>
    <n v="770"/>
    <s v="Delivered"/>
    <n v="4.5"/>
  </r>
  <r>
    <s v="O1140"/>
    <s v="C1020"/>
    <s v="R020"/>
    <x v="19"/>
    <x v="1"/>
    <d v="2026-12-18T00:00:00"/>
    <d v="2026-12-18T00:00:00"/>
    <s v="Friday"/>
    <s v="Priya"/>
    <n v="37"/>
    <n v="50"/>
    <n v="600"/>
    <s v="Delivered"/>
    <n v="4"/>
  </r>
  <r>
    <s v="O1141"/>
    <s v="C1021"/>
    <s v="R001"/>
    <x v="0"/>
    <x v="2"/>
    <d v="2026-12-19T00:00:00"/>
    <d v="2026-12-19T00:00:00"/>
    <s v="Saturday"/>
    <s v="Karan"/>
    <n v="31"/>
    <n v="40"/>
    <n v="530"/>
    <s v="Delivered"/>
    <n v="4.5"/>
  </r>
  <r>
    <s v="O1142"/>
    <s v="C1022"/>
    <s v="R002"/>
    <x v="1"/>
    <x v="3"/>
    <d v="2026-12-20T00:00:00"/>
    <d v="2026-12-20T00:00:00"/>
    <s v="Sunday"/>
    <s v="Ravi"/>
    <n v="35"/>
    <n v="45"/>
    <n v="700"/>
    <s v="Delivered"/>
    <n v="4"/>
  </r>
  <r>
    <s v="O1143"/>
    <s v="C1023"/>
    <s v="R003"/>
    <x v="2"/>
    <x v="4"/>
    <d v="2026-12-21T00:00:00"/>
    <d v="2026-12-21T00:00:00"/>
    <s v="Monday"/>
    <s v="Mehul"/>
    <n v="44"/>
    <n v="60"/>
    <n v="880"/>
    <s v="Delayed"/>
    <n v="3"/>
  </r>
  <r>
    <s v="O1144"/>
    <s v="C1024"/>
    <s v="R004"/>
    <x v="3"/>
    <x v="5"/>
    <d v="2026-12-22T00:00:00"/>
    <d v="2026-12-22T00:00:00"/>
    <s v="Tuesday"/>
    <s v="Jay"/>
    <n v="26"/>
    <n v="30"/>
    <n v="420"/>
    <s v="Delivered"/>
    <n v="5"/>
  </r>
  <r>
    <s v="O1145"/>
    <s v="C1025"/>
    <s v="R005"/>
    <x v="4"/>
    <x v="0"/>
    <d v="2026-12-23T00:00:00"/>
    <d v="2026-12-23T00:00:00"/>
    <s v="Wednesday"/>
    <s v="Aman"/>
    <n v="33"/>
    <n v="40"/>
    <n v="970"/>
    <s v="Delivered"/>
    <n v="4.5"/>
  </r>
  <r>
    <s v="O1146"/>
    <s v="C1026"/>
    <s v="R006"/>
    <x v="5"/>
    <x v="1"/>
    <d v="2026-12-24T00:00:00"/>
    <d v="2026-12-24T00:00:00"/>
    <s v="Thursday"/>
    <s v="Raj"/>
    <n v="39"/>
    <n v="50"/>
    <n v="710"/>
    <s v="Delivered"/>
    <n v="4"/>
  </r>
  <r>
    <s v="O1147"/>
    <s v="C1027"/>
    <s v="R007"/>
    <x v="6"/>
    <x v="2"/>
    <d v="2026-12-25T00:00:00"/>
    <d v="2026-12-25T00:00:00"/>
    <s v="Friday"/>
    <s v="Priya"/>
    <n v="27"/>
    <n v="30"/>
    <n v="570"/>
    <s v="Delivered"/>
    <n v="4.5"/>
  </r>
  <r>
    <s v="O1148"/>
    <s v="C1028"/>
    <s v="R008"/>
    <x v="7"/>
    <x v="3"/>
    <d v="2026-12-26T00:00:00"/>
    <d v="2026-12-26T00:00:00"/>
    <s v="Saturday"/>
    <s v="Karan"/>
    <n v="36"/>
    <n v="45"/>
    <n v="490"/>
    <s v="Delivered"/>
    <n v="4"/>
  </r>
  <r>
    <s v="O1149"/>
    <s v="C1029"/>
    <s v="R009"/>
    <x v="8"/>
    <x v="4"/>
    <d v="2026-12-27T00:00:00"/>
    <d v="2026-12-27T00:00:00"/>
    <s v="Sunday"/>
    <s v="Ravi"/>
    <n v="30"/>
    <n v="35"/>
    <n v="740"/>
    <s v="Delivered"/>
    <n v="5"/>
  </r>
  <r>
    <s v="O1150"/>
    <s v="C1030"/>
    <s v="R010"/>
    <x v="9"/>
    <x v="5"/>
    <d v="2026-12-28T00:00:00"/>
    <d v="2026-12-28T00:00:00"/>
    <s v="Monday"/>
    <s v="Unassigned"/>
    <n v="43"/>
    <n v="60"/>
    <n v="630"/>
    <s v="Delayed"/>
    <n v="3"/>
  </r>
  <r>
    <s v="O1151"/>
    <s v="C1031"/>
    <s v="R011"/>
    <x v="10"/>
    <x v="0"/>
    <d v="2026-12-29T00:00:00"/>
    <d v="2026-12-29T00:00:00"/>
    <s v="Tuesday"/>
    <s v="Mehul"/>
    <n v="29"/>
    <n v="35"/>
    <n v="1020"/>
    <s v="Delivered"/>
    <n v="4.5"/>
  </r>
  <r>
    <s v="O1152"/>
    <s v="C1032"/>
    <s v="R012"/>
    <x v="11"/>
    <x v="1"/>
    <d v="2026-12-30T00:00:00"/>
    <d v="2026-12-30T00:00:00"/>
    <s v="Wednesday"/>
    <s v="Jay"/>
    <n v="34"/>
    <n v="40"/>
    <n v="460"/>
    <s v="Delivered"/>
    <n v="4"/>
  </r>
  <r>
    <s v="O1153"/>
    <s v="C1033"/>
    <s v="R013"/>
    <x v="12"/>
    <x v="2"/>
    <d v="2026-12-31T00:00:00"/>
    <d v="2026-12-31T00:00:00"/>
    <s v="Thursday"/>
    <s v="Aman"/>
    <n v="32"/>
    <n v="45"/>
    <n v="820"/>
    <s v="Delivered"/>
    <n v="5"/>
  </r>
  <r>
    <s v="O1154"/>
    <s v="C1034"/>
    <s v="R014"/>
    <x v="13"/>
    <x v="3"/>
    <d v="2026-01-01T00:00:00"/>
    <d v="2026-01-01T00:00:00"/>
    <s v="Thursday"/>
    <s v="Raj"/>
    <n v="40"/>
    <n v="55"/>
    <n v="550"/>
    <s v="Delivered"/>
    <n v="4"/>
  </r>
  <r>
    <s v="O1155"/>
    <s v="C1035"/>
    <s v="R015"/>
    <x v="14"/>
    <x v="4"/>
    <d v="2026-01-02T00:00:00"/>
    <d v="2026-01-02T00:00:00"/>
    <s v="Friday"/>
    <s v="Priya"/>
    <n v="28"/>
    <n v="35"/>
    <n v="920"/>
    <s v="Delivered"/>
    <n v="4.5"/>
  </r>
  <r>
    <s v="O1156"/>
    <s v="C1036"/>
    <s v="R016"/>
    <x v="15"/>
    <x v="5"/>
    <d v="2026-01-03T00:00:00"/>
    <d v="2026-01-03T00:00:00"/>
    <s v="Saturday"/>
    <s v="Karan"/>
    <n v="35"/>
    <n v="45"/>
    <n v="680"/>
    <s v="Delivered"/>
    <n v="4"/>
  </r>
  <r>
    <s v="O1157"/>
    <s v="C1037"/>
    <s v="R017"/>
    <x v="16"/>
    <x v="0"/>
    <d v="2026-01-04T00:00:00"/>
    <d v="2026-01-04T00:00:00"/>
    <s v="Sunday"/>
    <s v="Ravi"/>
    <n v="24"/>
    <n v="30"/>
    <n v="390"/>
    <s v="Delivered"/>
    <n v="5"/>
  </r>
  <r>
    <s v="O1158"/>
    <s v="C1038"/>
    <s v="R018"/>
    <x v="17"/>
    <x v="1"/>
    <d v="2026-01-05T00:00:00"/>
    <d v="2026-01-05T00:00:00"/>
    <s v="Monday"/>
    <s v="Mehul"/>
    <n v="42"/>
    <n v="55"/>
    <n v="1000"/>
    <s v="Delayed"/>
    <n v="3.5"/>
  </r>
  <r>
    <s v="O1159"/>
    <s v="C1039"/>
    <s v="R019"/>
    <x v="18"/>
    <x v="2"/>
    <d v="2026-01-06T00:00:00"/>
    <d v="2026-01-06T00:00:00"/>
    <s v="Tuesday"/>
    <s v="Jay"/>
    <n v="30"/>
    <n v="35"/>
    <n v="780"/>
    <s v="Delivered"/>
    <n v="4.5"/>
  </r>
  <r>
    <s v="O1160"/>
    <s v="C1040"/>
    <s v="R020"/>
    <x v="19"/>
    <x v="3"/>
    <d v="2026-01-07T00:00:00"/>
    <d v="2026-01-07T00:00:00"/>
    <s v="Wednesday"/>
    <s v="Aman"/>
    <n v="38"/>
    <n v="50"/>
    <n v="610"/>
    <s v="Delivered"/>
    <n v="4"/>
  </r>
  <r>
    <s v="O1161"/>
    <s v="C1041"/>
    <s v="R001"/>
    <x v="0"/>
    <x v="4"/>
    <d v="2026-01-08T00:00:00"/>
    <d v="2026-01-08T00:00:00"/>
    <s v="Thursday"/>
    <s v="Raj"/>
    <n v="33"/>
    <n v="40"/>
    <n v="540"/>
    <s v="Delivered"/>
    <n v="4.5"/>
  </r>
  <r>
    <s v="O1162"/>
    <s v="C1042"/>
    <s v="R002"/>
    <x v="1"/>
    <x v="5"/>
    <d v="2026-01-09T00:00:00"/>
    <d v="2026-01-09T00:00:00"/>
    <s v="Friday"/>
    <s v="Priya"/>
    <n v="27"/>
    <n v="35"/>
    <n v="690"/>
    <s v="Delivered"/>
    <n v="5"/>
  </r>
  <r>
    <s v="O1163"/>
    <s v="C1043"/>
    <s v="R003"/>
    <x v="2"/>
    <x v="0"/>
    <d v="2026-01-10T00:00:00"/>
    <d v="2026-01-10T00:00:00"/>
    <s v="Saturday"/>
    <s v="Karan"/>
    <n v="40"/>
    <n v="55"/>
    <n v="870"/>
    <s v="Delivered"/>
    <n v="4"/>
  </r>
  <r>
    <s v="O1164"/>
    <s v="C1044"/>
    <s v="R004"/>
    <x v="3"/>
    <x v="1"/>
    <d v="2026-01-11T00:00:00"/>
    <d v="2026-01-11T00:00:00"/>
    <s v="Sunday"/>
    <s v="Unassigned"/>
    <n v="29"/>
    <n v="30"/>
    <n v="430"/>
    <s v="Delivered"/>
    <n v="4.5"/>
  </r>
  <r>
    <s v="O1165"/>
    <s v="C1045"/>
    <s v="R005"/>
    <x v="4"/>
    <x v="2"/>
    <d v="2026-01-12T00:00:00"/>
    <d v="2026-01-12T00:00:00"/>
    <s v="Monday"/>
    <s v="Ravi"/>
    <n v="34"/>
    <n v="45"/>
    <n v="980"/>
    <s v="Delivered"/>
    <n v="4"/>
  </r>
  <r>
    <s v="O1166"/>
    <s v="C1046"/>
    <s v="R006"/>
    <x v="5"/>
    <x v="3"/>
    <d v="2026-01-13T00:00:00"/>
    <d v="2026-01-13T00:00:00"/>
    <s v="Tuesday"/>
    <s v="Mehul"/>
    <n v="46"/>
    <n v="65"/>
    <n v="720"/>
    <s v="Delayed"/>
    <n v="3"/>
  </r>
  <r>
    <s v="O1167"/>
    <s v="C1047"/>
    <s v="R007"/>
    <x v="6"/>
    <x v="4"/>
    <d v="2026-01-14T00:00:00"/>
    <d v="2026-01-14T00:00:00"/>
    <s v="Wednesday"/>
    <s v="Jay"/>
    <n v="25"/>
    <n v="30"/>
    <n v="580"/>
    <s v="Delivered"/>
    <n v="4.5"/>
  </r>
  <r>
    <s v="O1168"/>
    <s v="C1048"/>
    <s v="R008"/>
    <x v="7"/>
    <x v="5"/>
    <d v="2026-01-15T00:00:00"/>
    <d v="2026-01-15T00:00:00"/>
    <s v="Thursday"/>
    <s v="Aman"/>
    <n v="37"/>
    <n v="45"/>
    <n v="510"/>
    <s v="Delivered"/>
    <n v="4"/>
  </r>
  <r>
    <s v="O1169"/>
    <s v="C1049"/>
    <s v="R009"/>
    <x v="8"/>
    <x v="0"/>
    <d v="2026-01-16T00:00:00"/>
    <d v="2026-01-16T00:00:00"/>
    <s v="Friday"/>
    <s v="Raj"/>
    <n v="28"/>
    <n v="35"/>
    <n v="800"/>
    <s v="Delivered"/>
    <n v="5"/>
  </r>
  <r>
    <s v="O1170"/>
    <s v="C1050"/>
    <s v="R010"/>
    <x v="9"/>
    <x v="1"/>
    <d v="2026-01-17T00:00:00"/>
    <d v="2026-01-17T00:00:00"/>
    <s v="Saturday"/>
    <s v="Priya"/>
    <n v="41"/>
    <n v="55"/>
    <n v="650"/>
    <s v="Delivered"/>
    <n v="3.5"/>
  </r>
  <r>
    <s v="O1171"/>
    <s v="C1051"/>
    <s v="R011"/>
    <x v="10"/>
    <x v="2"/>
    <d v="2026-01-18T00:00:00"/>
    <d v="2026-01-18T00:00:00"/>
    <s v="Sunday"/>
    <s v="Karan"/>
    <n v="30"/>
    <n v="40"/>
    <n v="1030"/>
    <s v="Delivered"/>
    <n v="4.5"/>
  </r>
  <r>
    <s v="O1172"/>
    <s v="C1052"/>
    <s v="R012"/>
    <x v="11"/>
    <x v="3"/>
    <d v="2026-01-19T00:00:00"/>
    <d v="2026-01-19T00:00:00"/>
    <s v="Monday"/>
    <s v="Ravi"/>
    <n v="32"/>
    <n v="40"/>
    <n v="470"/>
    <s v="Delivered"/>
    <n v="4"/>
  </r>
  <r>
    <s v="O1173"/>
    <s v="C1053"/>
    <s v="R013"/>
    <x v="12"/>
    <x v="4"/>
    <d v="2026-01-20T00:00:00"/>
    <d v="2026-01-20T00:00:00"/>
    <s v="Tuesday"/>
    <s v="Mehul"/>
    <n v="36"/>
    <n v="45"/>
    <n v="830"/>
    <s v="Delivered"/>
    <n v="5"/>
  </r>
  <r>
    <s v="O1174"/>
    <s v="C1054"/>
    <s v="R014"/>
    <x v="13"/>
    <x v="5"/>
    <d v="2026-01-21T00:00:00"/>
    <d v="2026-01-21T00:00:00"/>
    <s v="Wednesday"/>
    <s v="Jay"/>
    <n v="44"/>
    <n v="60"/>
    <n v="560"/>
    <s v="Delayed"/>
    <n v="3"/>
  </r>
  <r>
    <s v="O1175"/>
    <s v="C1055"/>
    <s v="R015"/>
    <x v="14"/>
    <x v="0"/>
    <d v="2026-01-22T00:00:00"/>
    <d v="2026-01-22T00:00:00"/>
    <s v="Thursday"/>
    <s v="Aman"/>
    <n v="31"/>
    <n v="40"/>
    <n v="940"/>
    <s v="Delivered"/>
    <n v="4.5"/>
  </r>
  <r>
    <s v="O1176"/>
    <s v="C1056"/>
    <s v="R016"/>
    <x v="15"/>
    <x v="1"/>
    <d v="2026-01-23T00:00:00"/>
    <d v="2026-01-23T00:00:00"/>
    <s v="Friday"/>
    <s v="Unassigned"/>
    <n v="26"/>
    <n v="30"/>
    <n v="700"/>
    <s v="Delivered"/>
    <n v="4"/>
  </r>
  <r>
    <s v="O1177"/>
    <s v="C1057"/>
    <s v="R017"/>
    <x v="16"/>
    <x v="2"/>
    <d v="2026-01-24T00:00:00"/>
    <d v="2026-01-24T00:00:00"/>
    <s v="Saturday"/>
    <s v="Raj"/>
    <n v="35"/>
    <n v="45"/>
    <n v="400"/>
    <s v="Delivered"/>
    <n v="5"/>
  </r>
  <r>
    <s v="O1178"/>
    <s v="C1058"/>
    <s v="R018"/>
    <x v="17"/>
    <x v="3"/>
    <d v="2026-01-25T00:00:00"/>
    <d v="2026-01-25T00:00:00"/>
    <s v="Sunday"/>
    <s v="Priya"/>
    <n v="39"/>
    <n v="50"/>
    <n v="1020"/>
    <s v="Delivered"/>
    <n v="4"/>
  </r>
  <r>
    <s v="O1179"/>
    <s v="C1059"/>
    <s v="R019"/>
    <x v="18"/>
    <x v="4"/>
    <d v="2026-01-26T00:00:00"/>
    <d v="2026-01-26T00:00:00"/>
    <s v="Monday"/>
    <s v="Karan"/>
    <n v="27"/>
    <n v="35"/>
    <n v="810"/>
    <s v="Delivered"/>
    <n v="4.5"/>
  </r>
  <r>
    <s v="O1180"/>
    <s v="C1060"/>
    <s v="R020"/>
    <x v="19"/>
    <x v="5"/>
    <d v="2026-01-27T00:00:00"/>
    <d v="2026-01-27T00:00:00"/>
    <s v="Tuesday"/>
    <s v="Ravi"/>
    <n v="45"/>
    <n v="60"/>
    <n v="620"/>
    <s v="Delayed"/>
    <n v="3.5"/>
  </r>
  <r>
    <s v="O1181"/>
    <s v="C1061"/>
    <s v="R001"/>
    <x v="0"/>
    <x v="0"/>
    <d v="2026-01-28T00:00:00"/>
    <d v="2026-01-28T00:00:00"/>
    <s v="Wednesday"/>
    <s v="Mehul"/>
    <n v="30"/>
    <n v="35"/>
    <n v="560"/>
    <s v="Delivered"/>
    <n v="4.5"/>
  </r>
  <r>
    <s v="O1182"/>
    <s v="C1062"/>
    <s v="R002"/>
    <x v="1"/>
    <x v="1"/>
    <d v="2026-01-29T00:00:00"/>
    <d v="2026-01-29T00:00:00"/>
    <s v="Thursday"/>
    <s v="Jay"/>
    <n v="38"/>
    <n v="50"/>
    <n v="720"/>
    <s v="Delivered"/>
    <n v="4"/>
  </r>
  <r>
    <s v="O1183"/>
    <s v="C1063"/>
    <s v="R003"/>
    <x v="2"/>
    <x v="2"/>
    <d v="2026-01-30T00:00:00"/>
    <d v="2026-01-30T00:00:00"/>
    <s v="Friday"/>
    <s v="Aman"/>
    <n v="43"/>
    <n v="60"/>
    <n v="900"/>
    <s v="Delayed"/>
    <n v="3"/>
  </r>
  <r>
    <s v="O1184"/>
    <s v="C1064"/>
    <s v="R004"/>
    <x v="3"/>
    <x v="3"/>
    <d v="2026-01-31T00:00:00"/>
    <d v="2026-01-31T00:00:00"/>
    <s v="Saturday"/>
    <s v="Raj"/>
    <n v="27"/>
    <n v="30"/>
    <n v="450"/>
    <s v="Delivered"/>
    <n v="5"/>
  </r>
  <r>
    <s v="O1185"/>
    <s v="C1065"/>
    <s v="R005"/>
    <x v="4"/>
    <x v="4"/>
    <d v="2026-02-01T00:00:00"/>
    <d v="2026-02-01T00:00:00"/>
    <s v="Sunday"/>
    <s v="Priya"/>
    <n v="34"/>
    <n v="45"/>
    <n v="990"/>
    <s v="Delivered"/>
    <n v="4.5"/>
  </r>
  <r>
    <s v="O1186"/>
    <s v="C1066"/>
    <s v="R006"/>
    <x v="5"/>
    <x v="5"/>
    <d v="2026-02-02T00:00:00"/>
    <d v="2026-02-02T00:00:00"/>
    <s v="Monday"/>
    <s v="Karan"/>
    <n v="40"/>
    <n v="55"/>
    <n v="740"/>
    <s v="Delivered"/>
    <n v="4"/>
  </r>
  <r>
    <s v="O1187"/>
    <s v="C1067"/>
    <s v="R007"/>
    <x v="6"/>
    <x v="0"/>
    <d v="2026-02-03T00:00:00"/>
    <d v="2026-02-03T00:00:00"/>
    <s v="Tuesday"/>
    <s v="Ravi"/>
    <n v="25"/>
    <n v="30"/>
    <n v="600"/>
    <s v="Delivered"/>
    <n v="4.5"/>
  </r>
  <r>
    <s v="O1188"/>
    <s v="C1068"/>
    <s v="R008"/>
    <x v="7"/>
    <x v="1"/>
    <d v="2026-02-04T00:00:00"/>
    <d v="2026-02-04T00:00:00"/>
    <s v="Wednesday"/>
    <s v="Unassigned"/>
    <n v="35"/>
    <n v="45"/>
    <n v="520"/>
    <s v="Delivered"/>
    <n v="4"/>
  </r>
  <r>
    <s v="O1189"/>
    <s v="C1069"/>
    <s v="R009"/>
    <x v="8"/>
    <x v="2"/>
    <d v="2026-02-05T00:00:00"/>
    <d v="2026-02-05T00:00:00"/>
    <s v="Thursday"/>
    <s v="Mehul"/>
    <n v="29"/>
    <n v="35"/>
    <n v="830"/>
    <s v="Delivered"/>
    <n v="5"/>
  </r>
  <r>
    <s v="O1190"/>
    <s v="C1070"/>
    <s v="R010"/>
    <x v="9"/>
    <x v="3"/>
    <d v="2026-02-06T00:00:00"/>
    <d v="2026-02-06T00:00:00"/>
    <s v="Friday"/>
    <s v="Jay"/>
    <n v="47"/>
    <n v="65"/>
    <n v="670"/>
    <s v="Delayed"/>
    <n v="3.5"/>
  </r>
  <r>
    <s v="O1191"/>
    <s v="C1071"/>
    <s v="R011"/>
    <x v="10"/>
    <x v="4"/>
    <d v="2026-02-07T00:00:00"/>
    <d v="2026-02-07T00:00:00"/>
    <s v="Saturday"/>
    <s v="Aman"/>
    <n v="32"/>
    <n v="40"/>
    <n v="1040"/>
    <s v="Delivered"/>
    <n v="4.5"/>
  </r>
  <r>
    <s v="O1192"/>
    <s v="C1072"/>
    <s v="R012"/>
    <x v="11"/>
    <x v="5"/>
    <d v="2026-02-08T00:00:00"/>
    <d v="2026-02-08T00:00:00"/>
    <s v="Sunday"/>
    <s v="Raj"/>
    <n v="28"/>
    <n v="35"/>
    <n v="490"/>
    <s v="Delivered"/>
    <n v="4"/>
  </r>
  <r>
    <s v="O1193"/>
    <s v="C1073"/>
    <s v="R013"/>
    <x v="12"/>
    <x v="0"/>
    <d v="2026-02-09T00:00:00"/>
    <d v="2026-02-09T00:00:00"/>
    <s v="Monday"/>
    <s v="Priya"/>
    <n v="37"/>
    <n v="50"/>
    <n v="850"/>
    <s v="Delivered"/>
    <n v="5"/>
  </r>
  <r>
    <s v="O1194"/>
    <s v="C1074"/>
    <s v="R014"/>
    <x v="13"/>
    <x v="1"/>
    <d v="2026-02-10T00:00:00"/>
    <d v="2026-02-10T00:00:00"/>
    <s v="Tuesday"/>
    <s v="Karan"/>
    <n v="40"/>
    <n v="55"/>
    <n v="580"/>
    <s v="Delivered"/>
    <n v="4"/>
  </r>
  <r>
    <s v="O1195"/>
    <s v="C1075"/>
    <s v="R015"/>
    <x v="14"/>
    <x v="2"/>
    <d v="2026-02-11T00:00:00"/>
    <d v="2026-02-11T00:00:00"/>
    <s v="Wednesday"/>
    <s v="Ravi"/>
    <n v="31"/>
    <n v="40"/>
    <n v="960"/>
    <s v="Delivered"/>
    <n v="4.5"/>
  </r>
  <r>
    <s v="O1196"/>
    <s v="C1076"/>
    <s v="R016"/>
    <x v="15"/>
    <x v="3"/>
    <d v="2026-02-12T00:00:00"/>
    <d v="2026-02-12T00:00:00"/>
    <s v="Thursday"/>
    <s v="Mehul"/>
    <n v="33"/>
    <n v="40"/>
    <n v="710"/>
    <s v="Delivered"/>
    <n v="4"/>
  </r>
  <r>
    <s v="O1197"/>
    <s v="C1077"/>
    <s v="R017"/>
    <x v="16"/>
    <x v="4"/>
    <d v="2026-02-13T00:00:00"/>
    <d v="2026-02-13T00:00:00"/>
    <s v="Friday"/>
    <s v="Jay"/>
    <n v="26"/>
    <n v="30"/>
    <n v="420"/>
    <s v="Delivered"/>
    <n v="5"/>
  </r>
  <r>
    <s v="O1198"/>
    <s v="C1078"/>
    <s v="R018"/>
    <x v="17"/>
    <x v="5"/>
    <d v="2026-02-14T00:00:00"/>
    <d v="2026-02-14T00:00:00"/>
    <s v="Saturday"/>
    <s v="Aman"/>
    <n v="42"/>
    <n v="60"/>
    <n v="1050"/>
    <s v="Delayed"/>
    <n v="3"/>
  </r>
  <r>
    <s v="O1199"/>
    <s v="C1079"/>
    <s v="R019"/>
    <x v="18"/>
    <x v="0"/>
    <d v="2026-02-15T00:00:00"/>
    <d v="2026-02-15T00:00:00"/>
    <s v="Sunday"/>
    <s v="Raj"/>
    <n v="30"/>
    <n v="35"/>
    <n v="860"/>
    <s v="Delivered"/>
    <n v="4.5"/>
  </r>
  <r>
    <s v="O1200"/>
    <s v="C1080"/>
    <s v="R020"/>
    <x v="19"/>
    <x v="1"/>
    <d v="2026-02-16T00:00:00"/>
    <d v="2026-02-16T00:00:00"/>
    <s v="Monday"/>
    <s v="Priya"/>
    <n v="36"/>
    <n v="45"/>
    <n v="640"/>
    <s v="Delivered"/>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6C1B41-BD4B-477E-BD2B-2811B48B5267}" name="PivotTable1"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C10" firstHeaderRow="0" firstDataRow="1" firstDataCol="1"/>
  <pivotFields count="14">
    <pivotField dataField="1" showAll="0"/>
    <pivotField showAll="0"/>
    <pivotField showAll="0"/>
    <pivotField showAll="0"/>
    <pivotField axis="axisRow" showAll="0">
      <items count="7">
        <item x="0"/>
        <item x="4"/>
        <item x="5"/>
        <item x="2"/>
        <item x="1"/>
        <item x="3"/>
        <item t="default"/>
      </items>
    </pivotField>
    <pivotField numFmtId="165" showAll="0"/>
    <pivotField numFmtId="165" showAll="0"/>
    <pivotField showAll="0"/>
    <pivotField showAll="0"/>
    <pivotField showAll="0"/>
    <pivotField dataField="1" showAll="0"/>
    <pivotField showAll="0"/>
    <pivotField showAll="0"/>
    <pivotField showAll="0"/>
  </pivotFields>
  <rowFields count="1">
    <field x="4"/>
  </rowFields>
  <rowItems count="7">
    <i>
      <x/>
    </i>
    <i>
      <x v="1"/>
    </i>
    <i>
      <x v="2"/>
    </i>
    <i>
      <x v="3"/>
    </i>
    <i>
      <x v="4"/>
    </i>
    <i>
      <x v="5"/>
    </i>
    <i t="grand">
      <x/>
    </i>
  </rowItems>
  <colFields count="1">
    <field x="-2"/>
  </colFields>
  <colItems count="2">
    <i>
      <x/>
    </i>
    <i i="1">
      <x v="1"/>
    </i>
  </colItems>
  <dataFields count="2">
    <dataField name="Count of Order ID" fld="0" subtotal="count" baseField="0" baseItem="0"/>
    <dataField name="Sum of Delivery Charge" fld="10" baseField="0" baseItem="0"/>
  </dataFields>
  <chartFormats count="6">
    <chartFormat chart="1" format="0" series="1">
      <pivotArea type="data" outline="0" fieldPosition="0">
        <references count="1">
          <reference field="4294967294" count="1" selected="0">
            <x v="1"/>
          </reference>
        </references>
      </pivotArea>
    </chartFormat>
    <chartFormat chart="1" format="1"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91AEA6-5827-4FD4-8627-5473DBA75967}" name="PivotTable2"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9" firstHeaderRow="1" firstDataRow="1" firstDataCol="1"/>
  <pivotFields count="14">
    <pivotField showAll="0"/>
    <pivotField showAll="0"/>
    <pivotField showAll="0"/>
    <pivotField axis="axisRow" showAll="0" measureFilter="1" sortType="descending">
      <items count="21">
        <item x="5"/>
        <item x="3"/>
        <item x="7"/>
        <item x="16"/>
        <item x="9"/>
        <item x="12"/>
        <item x="4"/>
        <item x="10"/>
        <item x="6"/>
        <item x="17"/>
        <item x="18"/>
        <item x="13"/>
        <item x="15"/>
        <item x="1"/>
        <item x="8"/>
        <item x="14"/>
        <item x="0"/>
        <item x="2"/>
        <item x="19"/>
        <item x="11"/>
        <item t="default"/>
      </items>
      <autoSortScope>
        <pivotArea dataOnly="0" outline="0" fieldPosition="0">
          <references count="1">
            <reference field="4294967294" count="1" selected="0">
              <x v="0"/>
            </reference>
          </references>
        </pivotArea>
      </autoSortScope>
    </pivotField>
    <pivotField showAll="0">
      <items count="7">
        <item x="0"/>
        <item x="4"/>
        <item x="5"/>
        <item x="2"/>
        <item x="1"/>
        <item x="3"/>
        <item t="default"/>
      </items>
    </pivotField>
    <pivotField numFmtId="165" showAll="0"/>
    <pivotField numFmtId="165" showAll="0"/>
    <pivotField showAll="0"/>
    <pivotField showAll="0"/>
    <pivotField showAll="0"/>
    <pivotField showAll="0"/>
    <pivotField dataField="1" showAll="0"/>
    <pivotField showAll="0"/>
    <pivotField showAll="0"/>
  </pivotFields>
  <rowFields count="1">
    <field x="3"/>
  </rowFields>
  <rowItems count="6">
    <i>
      <x v="7"/>
    </i>
    <i>
      <x v="9"/>
    </i>
    <i>
      <x v="6"/>
    </i>
    <i>
      <x v="15"/>
    </i>
    <i>
      <x v="17"/>
    </i>
    <i t="grand">
      <x/>
    </i>
  </rowItems>
  <colItems count="1">
    <i/>
  </colItems>
  <dataFields count="1">
    <dataField name="Sum of Order Amount" fld="11" baseField="0" baseItem="0"/>
  </dataFields>
  <chartFormats count="4">
    <chartFormat chart="0" format="6" series="1">
      <pivotArea type="data" outline="0" fieldPosition="0">
        <references count="1">
          <reference field="4294967294" count="1" selected="0">
            <x v="0"/>
          </reference>
        </references>
      </pivotArea>
    </chartFormat>
    <chartFormat chart="1" format="7"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40CA3EC-E9E9-45F3-9269-AF92DFF7CD15}" sourceName="City">
  <pivotTables>
    <pivotTable tabId="4" name="PivotTable1"/>
    <pivotTable tabId="7" name="PivotTable2"/>
  </pivotTables>
  <data>
    <tabular pivotCacheId="515356416">
      <items count="6">
        <i x="0" s="1"/>
        <i x="4" s="1"/>
        <i x="5"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6F97E0AC-C74C-436D-9FE2-45FB6765DA0D}" cache="Slicer_City" caption="City" style="SlicerStyleLight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2259EA-2C79-4036-AA7E-83476CA6E8A1}" name="Table1" displayName="Table1" ref="A1:L201" totalsRowShown="0" headerRowDxfId="48" dataDxfId="46" headerRowBorderDxfId="47" tableBorderDxfId="45" totalsRowBorderDxfId="44">
  <autoFilter ref="A1:L201" xr:uid="{8C2259EA-2C79-4036-AA7E-83476CA6E8A1}"/>
  <tableColumns count="12">
    <tableColumn id="1" xr3:uid="{85EB8A6D-4CDE-4CE9-9E7B-83D04728B5D7}" name="Order ID" dataDxfId="43"/>
    <tableColumn id="2" xr3:uid="{F83A9C2F-2AA4-4E4E-9267-EDCA9483EDC5}" name="Customer ID" dataDxfId="42"/>
    <tableColumn id="3" xr3:uid="{654B77F5-337E-419D-B7FB-FF2220AAE8A4}" name="Restaurant ID" dataDxfId="41"/>
    <tableColumn id="4" xr3:uid="{90045002-71D4-47BA-97E2-BA72FCE45978}" name="City" dataDxfId="40"/>
    <tableColumn id="5" xr3:uid="{71159E7E-4C8F-4331-874E-69B6540A0A9B}" name="Order Date" dataDxfId="39"/>
    <tableColumn id="6" xr3:uid="{02255F3B-0BA5-4C5B-A1DE-F96E50553F6E}" name="Delivery Date" dataDxfId="38"/>
    <tableColumn id="7" xr3:uid="{343C887C-BC61-4745-B14F-7B812CBDEA67}" name="Delivery Partner" dataDxfId="37"/>
    <tableColumn id="8" xr3:uid="{954953D5-1AE7-48AF-AEDB-F209A4ED1D3B}" name="Delivery Time (Min)" dataDxfId="36"/>
    <tableColumn id="9" xr3:uid="{2C8CC2E9-5DCE-4262-8375-46C713F5EDB3}" name="Delivery Charge" dataDxfId="35"/>
    <tableColumn id="10" xr3:uid="{8D84BF15-9848-474D-A66D-6645361AEFBE}" name="Order Amount" dataDxfId="34"/>
    <tableColumn id="11" xr3:uid="{06EA8DE5-BC84-40E9-AC6F-A8708E5A0B0A}" name="Order Status" dataDxfId="33"/>
    <tableColumn id="12" xr3:uid="{4A6C467C-C004-4AD7-8B7C-885ABC275221}" name="Rating" dataDxfId="3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D4A1EDA-EDD4-4CF2-AB29-97CB46177A85}" name="Table2" displayName="Table2" ref="A1:F21" totalsRowShown="0" headerRowDxfId="31" dataDxfId="29" headerRowBorderDxfId="30" tableBorderDxfId="28" totalsRowBorderDxfId="27">
  <autoFilter ref="A1:F21" xr:uid="{AD4A1EDA-EDD4-4CF2-AB29-97CB46177A85}"/>
  <tableColumns count="6">
    <tableColumn id="1" xr3:uid="{08AC1DC4-A61E-4FA8-BD82-C2A885240C92}" name="Restaurant ID" dataDxfId="26"/>
    <tableColumn id="2" xr3:uid="{1E725C3E-F70E-4899-868B-CFF490C5C0ED}" name="Restaurant Name2" dataDxfId="25"/>
    <tableColumn id="3" xr3:uid="{763F3D17-FBE6-4360-BF63-50F6E98CE7B0}" name="Cuisine" dataDxfId="24"/>
    <tableColumn id="4" xr3:uid="{A781E305-EE5E-40B8-AEF6-2E68B0546B8D}" name="Category" dataDxfId="23"/>
    <tableColumn id="5" xr3:uid="{58813FD6-F1B4-40B3-96DA-D4CF633B07ED}" name="Zone" dataDxfId="22"/>
    <tableColumn id="6" xr3:uid="{ED15CC0A-167A-41A6-AFF6-B3A9328C14D5}" name="Average Rating" dataDxfId="2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2A41811-A7BE-4B61-BEB9-9C71DC5F6160}" name="Table14" displayName="Table14" ref="A1:N201" totalsRowShown="0" headerRowDxfId="20" dataDxfId="19" headerRowBorderDxfId="17" tableBorderDxfId="18" totalsRowBorderDxfId="16">
  <autoFilter ref="A1:N201" xr:uid="{8C2259EA-2C79-4036-AA7E-83476CA6E8A1}"/>
  <tableColumns count="14">
    <tableColumn id="1" xr3:uid="{782D4A00-5E19-4716-97AA-2F32A03C6D41}" name="Order ID" dataDxfId="15"/>
    <tableColumn id="2" xr3:uid="{0D6A4151-BE9A-4897-AA45-3354D1D07C93}" name="Customer ID" dataDxfId="14"/>
    <tableColumn id="3" xr3:uid="{2535DA4E-F8E4-4BAE-B897-C52976748819}" name="Restaurant ID" dataDxfId="13"/>
    <tableColumn id="13" xr3:uid="{A4348F49-A802-40C5-920C-DC3596A63B62}" name="Restaurant Name" dataDxfId="3">
      <calculatedColumnFormula>_xlfn.XLOOKUP(Table14[[#This Row],[Restaurant ID]],Table2[Restaurant ID],Table2[Restaurant Name2],"Not Found",0)</calculatedColumnFormula>
    </tableColumn>
    <tableColumn id="4" xr3:uid="{80CDD437-FBE0-4E5F-BE67-9B5432C0C128}" name="City" dataDxfId="12"/>
    <tableColumn id="5" xr3:uid="{A1DCD4DB-08FD-48E2-AC7D-2D178D436ABD}" name="Order Date" dataDxfId="5"/>
    <tableColumn id="6" xr3:uid="{0ED390E2-8027-45FF-8006-E22F61340C0D}" name="Delivery Date" dataDxfId="4"/>
    <tableColumn id="14" xr3:uid="{C2E95796-1C98-499E-9700-61AF67929752}" name="Day of Week" dataDxfId="2">
      <calculatedColumnFormula>TEXT(Table14[[#This Row],[Delivery Date]],"dddd")</calculatedColumnFormula>
    </tableColumn>
    <tableColumn id="7" xr3:uid="{CB200DE2-0AC6-4265-9FA2-B41126F0FCDF}" name="Delivery Partner" dataDxfId="11"/>
    <tableColumn id="8" xr3:uid="{5A52B079-649B-47E4-B869-AE9F711189D2}" name="Delivery Time (Min)" dataDxfId="10"/>
    <tableColumn id="9" xr3:uid="{F56ABD6F-EC24-4B12-AAB2-4C1C43EAECA5}" name="Delivery Charge" dataDxfId="9"/>
    <tableColumn id="10" xr3:uid="{94F49643-3DE8-474D-98A5-09C7F07A368A}" name="Order Amount" dataDxfId="8"/>
    <tableColumn id="11" xr3:uid="{1A5C54C1-72D6-4D2C-836B-DE194FB63DDE}" name="Order Status" dataDxfId="7"/>
    <tableColumn id="12" xr3:uid="{C39B5464-6FDB-43DD-A950-4AE3B9659817}" name="Rating" dataDxfId="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730E6-D208-4633-BA1B-97B17156AF2C}">
  <dimension ref="A1:L201"/>
  <sheetViews>
    <sheetView workbookViewId="0">
      <selection activeCell="B2" sqref="B2"/>
    </sheetView>
  </sheetViews>
  <sheetFormatPr defaultRowHeight="14.4" x14ac:dyDescent="0.3"/>
  <cols>
    <col min="1" max="1" width="12.44140625" bestFit="1" customWidth="1"/>
    <col min="2" max="2" width="14.33203125" customWidth="1"/>
    <col min="3" max="3" width="16.77734375" customWidth="1"/>
    <col min="4" max="4" width="16.5546875" customWidth="1"/>
    <col min="5" max="5" width="18.44140625" customWidth="1"/>
    <col min="6" max="6" width="15.44140625" customWidth="1"/>
    <col min="7" max="7" width="19" bestFit="1" customWidth="1"/>
    <col min="8" max="8" width="19.33203125" customWidth="1"/>
    <col min="9" max="9" width="16.5546875" customWidth="1"/>
    <col min="10" max="10" width="17.6640625" bestFit="1" customWidth="1"/>
    <col min="11" max="11" width="15.88671875" bestFit="1" customWidth="1"/>
    <col min="12" max="12" width="10.77734375" bestFit="1" customWidth="1"/>
  </cols>
  <sheetData>
    <row r="1" spans="1:12" x14ac:dyDescent="0.3">
      <c r="A1" s="5" t="s">
        <v>0</v>
      </c>
      <c r="B1" s="6" t="s">
        <v>1</v>
      </c>
      <c r="C1" s="6" t="s">
        <v>2</v>
      </c>
      <c r="D1" s="6" t="s">
        <v>3</v>
      </c>
      <c r="E1" s="6" t="s">
        <v>4</v>
      </c>
      <c r="F1" s="6" t="s">
        <v>5</v>
      </c>
      <c r="G1" s="6" t="s">
        <v>6</v>
      </c>
      <c r="H1" s="6" t="s">
        <v>7</v>
      </c>
      <c r="I1" s="6" t="s">
        <v>8</v>
      </c>
      <c r="J1" s="6" t="s">
        <v>9</v>
      </c>
      <c r="K1" s="6" t="s">
        <v>10</v>
      </c>
      <c r="L1" s="7" t="s">
        <v>11</v>
      </c>
    </row>
    <row r="2" spans="1:12" x14ac:dyDescent="0.3">
      <c r="A2" s="3" t="s">
        <v>12</v>
      </c>
      <c r="B2" s="1" t="s">
        <v>13</v>
      </c>
      <c r="C2" s="1" t="s">
        <v>14</v>
      </c>
      <c r="D2" s="1" t="s">
        <v>15</v>
      </c>
      <c r="E2" s="2">
        <v>46030</v>
      </c>
      <c r="F2" s="2">
        <v>46030</v>
      </c>
      <c r="G2" s="1" t="s">
        <v>16</v>
      </c>
      <c r="H2" s="1">
        <v>32</v>
      </c>
      <c r="I2" s="1">
        <v>40</v>
      </c>
      <c r="J2" s="1">
        <v>450</v>
      </c>
      <c r="K2" s="1" t="s">
        <v>17</v>
      </c>
      <c r="L2" s="4">
        <v>4.5</v>
      </c>
    </row>
    <row r="3" spans="1:12" x14ac:dyDescent="0.3">
      <c r="A3" s="3" t="s">
        <v>18</v>
      </c>
      <c r="B3" s="1" t="s">
        <v>19</v>
      </c>
      <c r="C3" s="1" t="s">
        <v>20</v>
      </c>
      <c r="D3" s="1" t="s">
        <v>21</v>
      </c>
      <c r="E3" s="2">
        <v>46061</v>
      </c>
      <c r="F3" s="2">
        <v>46061</v>
      </c>
      <c r="G3" s="1" t="s">
        <v>22</v>
      </c>
      <c r="H3" s="1">
        <v>28</v>
      </c>
      <c r="I3" s="1">
        <v>35</v>
      </c>
      <c r="J3" s="1">
        <v>620</v>
      </c>
      <c r="K3" s="1" t="s">
        <v>17</v>
      </c>
      <c r="L3" s="4">
        <v>4</v>
      </c>
    </row>
    <row r="4" spans="1:12" x14ac:dyDescent="0.3">
      <c r="A4" s="3" t="s">
        <v>23</v>
      </c>
      <c r="B4" s="1" t="s">
        <v>24</v>
      </c>
      <c r="C4" s="1" t="s">
        <v>25</v>
      </c>
      <c r="D4" s="1" t="s">
        <v>26</v>
      </c>
      <c r="E4" s="2">
        <v>46089</v>
      </c>
      <c r="F4" s="2">
        <v>46089</v>
      </c>
      <c r="G4" s="1" t="s">
        <v>27</v>
      </c>
      <c r="H4" s="1">
        <v>41</v>
      </c>
      <c r="I4" s="1">
        <v>45</v>
      </c>
      <c r="J4" s="1">
        <v>780</v>
      </c>
      <c r="K4" s="1" t="s">
        <v>17</v>
      </c>
      <c r="L4" s="4">
        <v>4.5</v>
      </c>
    </row>
    <row r="5" spans="1:12" x14ac:dyDescent="0.3">
      <c r="A5" s="3" t="s">
        <v>28</v>
      </c>
      <c r="B5" s="1" t="s">
        <v>29</v>
      </c>
      <c r="C5" s="1" t="s">
        <v>30</v>
      </c>
      <c r="D5" s="1" t="s">
        <v>31</v>
      </c>
      <c r="E5" s="2">
        <v>46120</v>
      </c>
      <c r="F5" s="2">
        <v>46120</v>
      </c>
      <c r="G5" s="1" t="s">
        <v>32</v>
      </c>
      <c r="H5" s="1">
        <v>25</v>
      </c>
      <c r="I5" s="1">
        <v>30</v>
      </c>
      <c r="J5" s="1">
        <v>350</v>
      </c>
      <c r="K5" s="1" t="s">
        <v>17</v>
      </c>
      <c r="L5" s="4">
        <v>5</v>
      </c>
    </row>
    <row r="6" spans="1:12" x14ac:dyDescent="0.3">
      <c r="A6" s="3" t="s">
        <v>33</v>
      </c>
      <c r="B6" s="1" t="s">
        <v>34</v>
      </c>
      <c r="C6" s="1" t="s">
        <v>35</v>
      </c>
      <c r="D6" s="1" t="s">
        <v>36</v>
      </c>
      <c r="E6" s="2">
        <v>46150</v>
      </c>
      <c r="F6" s="2">
        <v>46150</v>
      </c>
      <c r="G6" s="1" t="s">
        <v>37</v>
      </c>
      <c r="H6" s="1">
        <v>36</v>
      </c>
      <c r="I6" s="1">
        <v>50</v>
      </c>
      <c r="J6" s="1">
        <v>890</v>
      </c>
      <c r="K6" s="1" t="s">
        <v>17</v>
      </c>
      <c r="L6" s="4">
        <v>4</v>
      </c>
    </row>
    <row r="7" spans="1:12" x14ac:dyDescent="0.3">
      <c r="A7" s="3" t="s">
        <v>38</v>
      </c>
      <c r="B7" s="1" t="s">
        <v>39</v>
      </c>
      <c r="C7" s="1" t="s">
        <v>40</v>
      </c>
      <c r="D7" s="1" t="s">
        <v>41</v>
      </c>
      <c r="E7" s="2">
        <v>46181</v>
      </c>
      <c r="F7" s="2">
        <v>46181</v>
      </c>
      <c r="G7" s="1" t="s">
        <v>42</v>
      </c>
      <c r="H7" s="1">
        <v>44</v>
      </c>
      <c r="I7" s="1">
        <v>60</v>
      </c>
      <c r="J7" s="1">
        <v>720</v>
      </c>
      <c r="K7" s="1" t="s">
        <v>17</v>
      </c>
      <c r="L7" s="4">
        <v>3.5</v>
      </c>
    </row>
    <row r="8" spans="1:12" x14ac:dyDescent="0.3">
      <c r="A8" s="3" t="s">
        <v>43</v>
      </c>
      <c r="B8" s="1" t="s">
        <v>44</v>
      </c>
      <c r="C8" s="1" t="s">
        <v>45</v>
      </c>
      <c r="D8" s="1" t="s">
        <v>15</v>
      </c>
      <c r="E8" s="2">
        <v>46211</v>
      </c>
      <c r="F8" s="2">
        <v>46211</v>
      </c>
      <c r="G8" s="1" t="s">
        <v>46</v>
      </c>
      <c r="H8" s="1">
        <v>29</v>
      </c>
      <c r="I8" s="1">
        <v>35</v>
      </c>
      <c r="J8" s="1">
        <v>510</v>
      </c>
      <c r="K8" s="1" t="s">
        <v>17</v>
      </c>
      <c r="L8" s="4">
        <v>4.5</v>
      </c>
    </row>
    <row r="9" spans="1:12" x14ac:dyDescent="0.3">
      <c r="A9" s="3" t="s">
        <v>47</v>
      </c>
      <c r="B9" s="1" t="s">
        <v>48</v>
      </c>
      <c r="C9" s="1" t="s">
        <v>49</v>
      </c>
      <c r="D9" s="1" t="s">
        <v>21</v>
      </c>
      <c r="E9" s="2">
        <v>46242</v>
      </c>
      <c r="F9" s="2">
        <v>46242</v>
      </c>
      <c r="G9" s="1"/>
      <c r="H9" s="1">
        <v>38</v>
      </c>
      <c r="I9" s="1">
        <v>45</v>
      </c>
      <c r="J9" s="1">
        <v>430</v>
      </c>
      <c r="K9" s="1" t="s">
        <v>17</v>
      </c>
      <c r="L9" s="4">
        <v>4</v>
      </c>
    </row>
    <row r="10" spans="1:12" x14ac:dyDescent="0.3">
      <c r="A10" s="3" t="s">
        <v>50</v>
      </c>
      <c r="B10" s="1" t="s">
        <v>51</v>
      </c>
      <c r="C10" s="1" t="s">
        <v>52</v>
      </c>
      <c r="D10" s="1" t="s">
        <v>26</v>
      </c>
      <c r="E10" s="2">
        <v>46273</v>
      </c>
      <c r="F10" s="2">
        <v>46273</v>
      </c>
      <c r="G10" s="1" t="s">
        <v>16</v>
      </c>
      <c r="H10" s="1">
        <v>27</v>
      </c>
      <c r="I10" s="1">
        <v>30</v>
      </c>
      <c r="J10" s="1">
        <v>680</v>
      </c>
      <c r="K10" s="1" t="s">
        <v>17</v>
      </c>
      <c r="L10" s="4">
        <v>4.5</v>
      </c>
    </row>
    <row r="11" spans="1:12" x14ac:dyDescent="0.3">
      <c r="A11" s="3" t="s">
        <v>53</v>
      </c>
      <c r="B11" s="1" t="s">
        <v>54</v>
      </c>
      <c r="C11" s="1" t="s">
        <v>55</v>
      </c>
      <c r="D11" s="1" t="s">
        <v>31</v>
      </c>
      <c r="E11" s="2">
        <v>46303</v>
      </c>
      <c r="F11" s="2">
        <v>46303</v>
      </c>
      <c r="G11" s="1" t="s">
        <v>56</v>
      </c>
      <c r="H11" s="1">
        <v>35</v>
      </c>
      <c r="I11" s="1">
        <v>40</v>
      </c>
      <c r="J11" s="1">
        <v>560</v>
      </c>
      <c r="K11" s="1" t="s">
        <v>17</v>
      </c>
      <c r="L11" s="4">
        <v>4</v>
      </c>
    </row>
    <row r="12" spans="1:12" x14ac:dyDescent="0.3">
      <c r="A12" s="3" t="s">
        <v>57</v>
      </c>
      <c r="B12" s="1" t="s">
        <v>58</v>
      </c>
      <c r="C12" s="1" t="s">
        <v>59</v>
      </c>
      <c r="D12" s="1" t="s">
        <v>36</v>
      </c>
      <c r="E12" s="2">
        <v>46334</v>
      </c>
      <c r="F12" s="2">
        <v>46334</v>
      </c>
      <c r="G12" s="1" t="s">
        <v>22</v>
      </c>
      <c r="H12" s="1">
        <v>31</v>
      </c>
      <c r="I12" s="1">
        <v>45</v>
      </c>
      <c r="J12" s="1">
        <v>950</v>
      </c>
      <c r="K12" s="1" t="s">
        <v>17</v>
      </c>
      <c r="L12" s="4">
        <v>5</v>
      </c>
    </row>
    <row r="13" spans="1:12" x14ac:dyDescent="0.3">
      <c r="A13" s="3" t="s">
        <v>60</v>
      </c>
      <c r="B13" s="1" t="s">
        <v>61</v>
      </c>
      <c r="C13" s="1" t="s">
        <v>62</v>
      </c>
      <c r="D13" s="1" t="s">
        <v>41</v>
      </c>
      <c r="E13" s="2">
        <v>46364</v>
      </c>
      <c r="F13" s="2">
        <v>46364</v>
      </c>
      <c r="G13" s="1" t="s">
        <v>27</v>
      </c>
      <c r="H13" s="1">
        <v>42</v>
      </c>
      <c r="I13" s="1">
        <v>55</v>
      </c>
      <c r="J13" s="1">
        <v>390</v>
      </c>
      <c r="K13" s="1" t="s">
        <v>17</v>
      </c>
      <c r="L13" s="4">
        <v>3.5</v>
      </c>
    </row>
    <row r="14" spans="1:12" x14ac:dyDescent="0.3">
      <c r="A14" s="3" t="s">
        <v>63</v>
      </c>
      <c r="B14" s="1" t="s">
        <v>64</v>
      </c>
      <c r="C14" s="1" t="s">
        <v>65</v>
      </c>
      <c r="D14" s="1" t="s">
        <v>15</v>
      </c>
      <c r="E14" s="1" t="s">
        <v>66</v>
      </c>
      <c r="F14" s="1" t="s">
        <v>66</v>
      </c>
      <c r="G14" s="1" t="s">
        <v>32</v>
      </c>
      <c r="H14" s="1">
        <v>26</v>
      </c>
      <c r="I14" s="1">
        <v>30</v>
      </c>
      <c r="J14" s="1">
        <v>740</v>
      </c>
      <c r="K14" s="1" t="s">
        <v>17</v>
      </c>
      <c r="L14" s="4">
        <v>4.5</v>
      </c>
    </row>
    <row r="15" spans="1:12" x14ac:dyDescent="0.3">
      <c r="A15" s="3" t="s">
        <v>67</v>
      </c>
      <c r="B15" s="1" t="s">
        <v>68</v>
      </c>
      <c r="C15" s="1" t="s">
        <v>69</v>
      </c>
      <c r="D15" s="1" t="s">
        <v>21</v>
      </c>
      <c r="E15" s="1" t="s">
        <v>70</v>
      </c>
      <c r="F15" s="1" t="s">
        <v>70</v>
      </c>
      <c r="G15" s="1" t="s">
        <v>37</v>
      </c>
      <c r="H15" s="1">
        <v>34</v>
      </c>
      <c r="I15" s="1">
        <v>40</v>
      </c>
      <c r="J15" s="1">
        <v>480</v>
      </c>
      <c r="K15" s="1" t="s">
        <v>17</v>
      </c>
      <c r="L15" s="4">
        <v>4</v>
      </c>
    </row>
    <row r="16" spans="1:12" x14ac:dyDescent="0.3">
      <c r="A16" s="3" t="s">
        <v>71</v>
      </c>
      <c r="B16" s="1" t="s">
        <v>72</v>
      </c>
      <c r="C16" s="1" t="s">
        <v>73</v>
      </c>
      <c r="D16" s="1" t="s">
        <v>26</v>
      </c>
      <c r="E16" s="1" t="s">
        <v>74</v>
      </c>
      <c r="F16" s="1" t="s">
        <v>74</v>
      </c>
      <c r="G16" s="1"/>
      <c r="H16" s="1">
        <v>47</v>
      </c>
      <c r="I16" s="1">
        <v>65</v>
      </c>
      <c r="J16" s="1">
        <v>830</v>
      </c>
      <c r="K16" s="1" t="s">
        <v>75</v>
      </c>
      <c r="L16" s="4">
        <v>3</v>
      </c>
    </row>
    <row r="17" spans="1:12" x14ac:dyDescent="0.3">
      <c r="A17" s="3" t="s">
        <v>76</v>
      </c>
      <c r="B17" s="1" t="s">
        <v>77</v>
      </c>
      <c r="C17" s="1" t="s">
        <v>78</v>
      </c>
      <c r="D17" s="1" t="s">
        <v>31</v>
      </c>
      <c r="E17" s="1" t="s">
        <v>79</v>
      </c>
      <c r="F17" s="1" t="s">
        <v>79</v>
      </c>
      <c r="G17" s="1" t="s">
        <v>42</v>
      </c>
      <c r="H17" s="1">
        <v>30</v>
      </c>
      <c r="I17" s="1">
        <v>35</v>
      </c>
      <c r="J17" s="1">
        <v>590</v>
      </c>
      <c r="K17" s="1" t="s">
        <v>17</v>
      </c>
      <c r="L17" s="4">
        <v>4.5</v>
      </c>
    </row>
    <row r="18" spans="1:12" x14ac:dyDescent="0.3">
      <c r="A18" s="3" t="s">
        <v>80</v>
      </c>
      <c r="B18" s="1" t="s">
        <v>81</v>
      </c>
      <c r="C18" s="1" t="s">
        <v>82</v>
      </c>
      <c r="D18" s="1" t="s">
        <v>36</v>
      </c>
      <c r="E18" s="1" t="s">
        <v>83</v>
      </c>
      <c r="F18" s="1" t="s">
        <v>83</v>
      </c>
      <c r="G18" s="1" t="s">
        <v>46</v>
      </c>
      <c r="H18" s="1">
        <v>24</v>
      </c>
      <c r="I18" s="1">
        <v>30</v>
      </c>
      <c r="J18" s="1">
        <v>320</v>
      </c>
      <c r="K18" s="1" t="s">
        <v>17</v>
      </c>
      <c r="L18" s="4">
        <v>5</v>
      </c>
    </row>
    <row r="19" spans="1:12" x14ac:dyDescent="0.3">
      <c r="A19" s="3" t="s">
        <v>84</v>
      </c>
      <c r="B19" s="1" t="s">
        <v>85</v>
      </c>
      <c r="C19" s="1" t="s">
        <v>86</v>
      </c>
      <c r="D19" s="1" t="s">
        <v>41</v>
      </c>
      <c r="E19" s="1" t="s">
        <v>87</v>
      </c>
      <c r="F19" s="1" t="s">
        <v>87</v>
      </c>
      <c r="G19" s="1" t="s">
        <v>16</v>
      </c>
      <c r="H19" s="1">
        <v>39</v>
      </c>
      <c r="I19" s="1">
        <v>50</v>
      </c>
      <c r="J19" s="1">
        <v>910</v>
      </c>
      <c r="K19" s="1" t="s">
        <v>17</v>
      </c>
      <c r="L19" s="4">
        <v>4</v>
      </c>
    </row>
    <row r="20" spans="1:12" x14ac:dyDescent="0.3">
      <c r="A20" s="3" t="s">
        <v>88</v>
      </c>
      <c r="B20" s="1" t="s">
        <v>89</v>
      </c>
      <c r="C20" s="1" t="s">
        <v>90</v>
      </c>
      <c r="D20" s="1" t="s">
        <v>15</v>
      </c>
      <c r="E20" s="1" t="s">
        <v>91</v>
      </c>
      <c r="F20" s="1" t="s">
        <v>91</v>
      </c>
      <c r="G20" s="1" t="s">
        <v>22</v>
      </c>
      <c r="H20" s="1">
        <v>33</v>
      </c>
      <c r="I20" s="1">
        <v>40</v>
      </c>
      <c r="J20" s="1">
        <v>670</v>
      </c>
      <c r="K20" s="1" t="s">
        <v>17</v>
      </c>
      <c r="L20" s="4">
        <v>4.5</v>
      </c>
    </row>
    <row r="21" spans="1:12" x14ac:dyDescent="0.3">
      <c r="A21" s="3" t="s">
        <v>92</v>
      </c>
      <c r="B21" s="1" t="s">
        <v>93</v>
      </c>
      <c r="C21" s="1" t="s">
        <v>94</v>
      </c>
      <c r="D21" s="1" t="s">
        <v>21</v>
      </c>
      <c r="E21" s="1" t="s">
        <v>95</v>
      </c>
      <c r="F21" s="1" t="s">
        <v>95</v>
      </c>
      <c r="G21" s="1" t="s">
        <v>27</v>
      </c>
      <c r="H21" s="1">
        <v>45</v>
      </c>
      <c r="I21" s="1">
        <v>60</v>
      </c>
      <c r="J21" s="1">
        <v>540</v>
      </c>
      <c r="K21" s="1" t="s">
        <v>17</v>
      </c>
      <c r="L21" s="4">
        <v>3.5</v>
      </c>
    </row>
    <row r="22" spans="1:12" x14ac:dyDescent="0.3">
      <c r="A22" s="3" t="s">
        <v>96</v>
      </c>
      <c r="B22" s="1" t="s">
        <v>97</v>
      </c>
      <c r="C22" s="1" t="s">
        <v>14</v>
      </c>
      <c r="D22" s="1" t="s">
        <v>26</v>
      </c>
      <c r="E22" s="1" t="s">
        <v>98</v>
      </c>
      <c r="F22" s="1" t="s">
        <v>98</v>
      </c>
      <c r="G22" s="1" t="s">
        <v>32</v>
      </c>
      <c r="H22" s="1">
        <v>29</v>
      </c>
      <c r="I22" s="1">
        <v>35</v>
      </c>
      <c r="J22" s="1">
        <v>460</v>
      </c>
      <c r="K22" s="1" t="s">
        <v>17</v>
      </c>
      <c r="L22" s="4">
        <v>4</v>
      </c>
    </row>
    <row r="23" spans="1:12" x14ac:dyDescent="0.3">
      <c r="A23" s="3" t="s">
        <v>99</v>
      </c>
      <c r="B23" s="1" t="s">
        <v>100</v>
      </c>
      <c r="C23" s="1" t="s">
        <v>20</v>
      </c>
      <c r="D23" s="1" t="s">
        <v>31</v>
      </c>
      <c r="E23" s="1" t="s">
        <v>101</v>
      </c>
      <c r="F23" s="1" t="s">
        <v>101</v>
      </c>
      <c r="G23" s="1" t="s">
        <v>37</v>
      </c>
      <c r="H23" s="1">
        <v>37</v>
      </c>
      <c r="I23" s="1">
        <v>45</v>
      </c>
      <c r="J23" s="1">
        <v>710</v>
      </c>
      <c r="K23" s="1" t="s">
        <v>17</v>
      </c>
      <c r="L23" s="4">
        <v>4.5</v>
      </c>
    </row>
    <row r="24" spans="1:12" x14ac:dyDescent="0.3">
      <c r="A24" s="3" t="s">
        <v>102</v>
      </c>
      <c r="B24" s="1" t="s">
        <v>103</v>
      </c>
      <c r="C24" s="1" t="s">
        <v>25</v>
      </c>
      <c r="D24" s="1" t="s">
        <v>36</v>
      </c>
      <c r="E24" s="1" t="s">
        <v>104</v>
      </c>
      <c r="F24" s="1" t="s">
        <v>104</v>
      </c>
      <c r="G24" s="1"/>
      <c r="H24" s="1">
        <v>43</v>
      </c>
      <c r="I24" s="1">
        <v>60</v>
      </c>
      <c r="J24" s="1">
        <v>850</v>
      </c>
      <c r="K24" s="1" t="s">
        <v>75</v>
      </c>
      <c r="L24" s="4">
        <v>3</v>
      </c>
    </row>
    <row r="25" spans="1:12" x14ac:dyDescent="0.3">
      <c r="A25" s="3" t="s">
        <v>105</v>
      </c>
      <c r="B25" s="1" t="s">
        <v>106</v>
      </c>
      <c r="C25" s="1" t="s">
        <v>30</v>
      </c>
      <c r="D25" s="1" t="s">
        <v>41</v>
      </c>
      <c r="E25" s="1" t="s">
        <v>107</v>
      </c>
      <c r="F25" s="1" t="s">
        <v>107</v>
      </c>
      <c r="G25" s="1" t="s">
        <v>42</v>
      </c>
      <c r="H25" s="1">
        <v>28</v>
      </c>
      <c r="I25" s="1">
        <v>35</v>
      </c>
      <c r="J25" s="1">
        <v>370</v>
      </c>
      <c r="K25" s="1" t="s">
        <v>17</v>
      </c>
      <c r="L25" s="4">
        <v>4</v>
      </c>
    </row>
    <row r="26" spans="1:12" x14ac:dyDescent="0.3">
      <c r="A26" s="3" t="s">
        <v>108</v>
      </c>
      <c r="B26" s="1" t="s">
        <v>109</v>
      </c>
      <c r="C26" s="1" t="s">
        <v>35</v>
      </c>
      <c r="D26" s="1" t="s">
        <v>15</v>
      </c>
      <c r="E26" s="1" t="s">
        <v>110</v>
      </c>
      <c r="F26" s="1" t="s">
        <v>110</v>
      </c>
      <c r="G26" s="1" t="s">
        <v>46</v>
      </c>
      <c r="H26" s="1">
        <v>31</v>
      </c>
      <c r="I26" s="1">
        <v>40</v>
      </c>
      <c r="J26" s="1">
        <v>920</v>
      </c>
      <c r="K26" s="1" t="s">
        <v>17</v>
      </c>
      <c r="L26" s="4">
        <v>4.5</v>
      </c>
    </row>
    <row r="27" spans="1:12" x14ac:dyDescent="0.3">
      <c r="A27" s="3" t="s">
        <v>111</v>
      </c>
      <c r="B27" s="1" t="s">
        <v>112</v>
      </c>
      <c r="C27" s="1" t="s">
        <v>40</v>
      </c>
      <c r="D27" s="1" t="s">
        <v>21</v>
      </c>
      <c r="E27" s="1" t="s">
        <v>113</v>
      </c>
      <c r="F27" s="1" t="s">
        <v>113</v>
      </c>
      <c r="G27" s="1" t="s">
        <v>16</v>
      </c>
      <c r="H27" s="1">
        <v>40</v>
      </c>
      <c r="I27" s="1">
        <v>50</v>
      </c>
      <c r="J27" s="1">
        <v>640</v>
      </c>
      <c r="K27" s="1" t="s">
        <v>17</v>
      </c>
      <c r="L27" s="4">
        <v>4</v>
      </c>
    </row>
    <row r="28" spans="1:12" x14ac:dyDescent="0.3">
      <c r="A28" s="3" t="s">
        <v>114</v>
      </c>
      <c r="B28" s="1" t="s">
        <v>115</v>
      </c>
      <c r="C28" s="1" t="s">
        <v>45</v>
      </c>
      <c r="D28" s="1" t="s">
        <v>26</v>
      </c>
      <c r="E28" s="1" t="s">
        <v>116</v>
      </c>
      <c r="F28" s="1" t="s">
        <v>116</v>
      </c>
      <c r="G28" s="1" t="s">
        <v>22</v>
      </c>
      <c r="H28" s="1">
        <v>26</v>
      </c>
      <c r="I28" s="1">
        <v>30</v>
      </c>
      <c r="J28" s="1">
        <v>510</v>
      </c>
      <c r="K28" s="1" t="s">
        <v>17</v>
      </c>
      <c r="L28" s="4">
        <v>5</v>
      </c>
    </row>
    <row r="29" spans="1:12" x14ac:dyDescent="0.3">
      <c r="A29" s="3" t="s">
        <v>117</v>
      </c>
      <c r="B29" s="1" t="s">
        <v>118</v>
      </c>
      <c r="C29" s="1" t="s">
        <v>49</v>
      </c>
      <c r="D29" s="1" t="s">
        <v>31</v>
      </c>
      <c r="E29" s="1" t="s">
        <v>119</v>
      </c>
      <c r="F29" s="1" t="s">
        <v>119</v>
      </c>
      <c r="G29" s="1" t="s">
        <v>27</v>
      </c>
      <c r="H29" s="1">
        <v>35</v>
      </c>
      <c r="I29" s="1">
        <v>45</v>
      </c>
      <c r="J29" s="1">
        <v>430</v>
      </c>
      <c r="K29" s="1" t="s">
        <v>17</v>
      </c>
      <c r="L29" s="4">
        <v>4</v>
      </c>
    </row>
    <row r="30" spans="1:12" x14ac:dyDescent="0.3">
      <c r="A30" s="3" t="s">
        <v>120</v>
      </c>
      <c r="B30" s="1" t="s">
        <v>121</v>
      </c>
      <c r="C30" s="1" t="s">
        <v>52</v>
      </c>
      <c r="D30" s="1" t="s">
        <v>36</v>
      </c>
      <c r="E30" s="1" t="s">
        <v>122</v>
      </c>
      <c r="F30" s="1" t="s">
        <v>122</v>
      </c>
      <c r="G30" s="1" t="s">
        <v>32</v>
      </c>
      <c r="H30" s="1">
        <v>30</v>
      </c>
      <c r="I30" s="1">
        <v>40</v>
      </c>
      <c r="J30" s="1">
        <v>680</v>
      </c>
      <c r="K30" s="1" t="s">
        <v>17</v>
      </c>
      <c r="L30" s="4">
        <v>4.5</v>
      </c>
    </row>
    <row r="31" spans="1:12" x14ac:dyDescent="0.3">
      <c r="A31" s="3" t="s">
        <v>123</v>
      </c>
      <c r="B31" s="1" t="s">
        <v>124</v>
      </c>
      <c r="C31" s="1" t="s">
        <v>55</v>
      </c>
      <c r="D31" s="1" t="s">
        <v>41</v>
      </c>
      <c r="E31" s="1" t="s">
        <v>125</v>
      </c>
      <c r="F31" s="1" t="s">
        <v>125</v>
      </c>
      <c r="G31" s="1" t="s">
        <v>37</v>
      </c>
      <c r="H31" s="1">
        <v>48</v>
      </c>
      <c r="I31" s="1">
        <v>65</v>
      </c>
      <c r="J31" s="1">
        <v>570</v>
      </c>
      <c r="K31" s="1" t="s">
        <v>75</v>
      </c>
      <c r="L31" s="4">
        <v>3.5</v>
      </c>
    </row>
    <row r="32" spans="1:12" x14ac:dyDescent="0.3">
      <c r="A32" s="3" t="s">
        <v>126</v>
      </c>
      <c r="B32" s="1" t="s">
        <v>127</v>
      </c>
      <c r="C32" s="1" t="s">
        <v>59</v>
      </c>
      <c r="D32" s="1" t="s">
        <v>15</v>
      </c>
      <c r="E32" s="1" t="s">
        <v>128</v>
      </c>
      <c r="F32" s="1" t="s">
        <v>128</v>
      </c>
      <c r="G32" s="1" t="s">
        <v>42</v>
      </c>
      <c r="H32" s="1">
        <v>27</v>
      </c>
      <c r="I32" s="1">
        <v>30</v>
      </c>
      <c r="J32" s="1">
        <v>960</v>
      </c>
      <c r="K32" s="1" t="s">
        <v>17</v>
      </c>
      <c r="L32" s="4">
        <v>5</v>
      </c>
    </row>
    <row r="33" spans="1:12" x14ac:dyDescent="0.3">
      <c r="A33" s="3" t="s">
        <v>129</v>
      </c>
      <c r="B33" s="1" t="s">
        <v>130</v>
      </c>
      <c r="C33" s="1" t="s">
        <v>62</v>
      </c>
      <c r="D33" s="1" t="s">
        <v>21</v>
      </c>
      <c r="E33" s="2">
        <v>46031</v>
      </c>
      <c r="F33" s="2">
        <v>46031</v>
      </c>
      <c r="G33" s="1" t="s">
        <v>46</v>
      </c>
      <c r="H33" s="1">
        <v>34</v>
      </c>
      <c r="I33" s="1">
        <v>40</v>
      </c>
      <c r="J33" s="1">
        <v>410</v>
      </c>
      <c r="K33" s="1" t="s">
        <v>17</v>
      </c>
      <c r="L33" s="4">
        <v>4</v>
      </c>
    </row>
    <row r="34" spans="1:12" x14ac:dyDescent="0.3">
      <c r="A34" s="3" t="s">
        <v>131</v>
      </c>
      <c r="B34" s="1" t="s">
        <v>132</v>
      </c>
      <c r="C34" s="1" t="s">
        <v>65</v>
      </c>
      <c r="D34" s="1" t="s">
        <v>26</v>
      </c>
      <c r="E34" s="2">
        <v>46062</v>
      </c>
      <c r="F34" s="2">
        <v>46062</v>
      </c>
      <c r="G34" s="1"/>
      <c r="H34" s="1">
        <v>36</v>
      </c>
      <c r="I34" s="1">
        <v>45</v>
      </c>
      <c r="J34" s="1">
        <v>750</v>
      </c>
      <c r="K34" s="1" t="s">
        <v>17</v>
      </c>
      <c r="L34" s="4">
        <v>4.5</v>
      </c>
    </row>
    <row r="35" spans="1:12" x14ac:dyDescent="0.3">
      <c r="A35" s="3" t="s">
        <v>133</v>
      </c>
      <c r="B35" s="1" t="s">
        <v>134</v>
      </c>
      <c r="C35" s="1" t="s">
        <v>69</v>
      </c>
      <c r="D35" s="1" t="s">
        <v>31</v>
      </c>
      <c r="E35" s="2">
        <v>46090</v>
      </c>
      <c r="F35" s="2">
        <v>46090</v>
      </c>
      <c r="G35" s="1" t="s">
        <v>16</v>
      </c>
      <c r="H35" s="1">
        <v>29</v>
      </c>
      <c r="I35" s="1">
        <v>35</v>
      </c>
      <c r="J35" s="1">
        <v>490</v>
      </c>
      <c r="K35" s="1" t="s">
        <v>17</v>
      </c>
      <c r="L35" s="4">
        <v>4</v>
      </c>
    </row>
    <row r="36" spans="1:12" x14ac:dyDescent="0.3">
      <c r="A36" s="3" t="s">
        <v>135</v>
      </c>
      <c r="B36" s="1" t="s">
        <v>136</v>
      </c>
      <c r="C36" s="1" t="s">
        <v>73</v>
      </c>
      <c r="D36" s="1" t="s">
        <v>36</v>
      </c>
      <c r="E36" s="2">
        <v>46121</v>
      </c>
      <c r="F36" s="2">
        <v>46121</v>
      </c>
      <c r="G36" s="1" t="s">
        <v>22</v>
      </c>
      <c r="H36" s="1">
        <v>42</v>
      </c>
      <c r="I36" s="1">
        <v>55</v>
      </c>
      <c r="J36" s="1">
        <v>840</v>
      </c>
      <c r="K36" s="1" t="s">
        <v>17</v>
      </c>
      <c r="L36" s="4">
        <v>3.5</v>
      </c>
    </row>
    <row r="37" spans="1:12" x14ac:dyDescent="0.3">
      <c r="A37" s="3" t="s">
        <v>137</v>
      </c>
      <c r="B37" s="1" t="s">
        <v>138</v>
      </c>
      <c r="C37" s="1" t="s">
        <v>78</v>
      </c>
      <c r="D37" s="1" t="s">
        <v>41</v>
      </c>
      <c r="E37" s="2">
        <v>46151</v>
      </c>
      <c r="F37" s="2">
        <v>46151</v>
      </c>
      <c r="G37" s="1" t="s">
        <v>27</v>
      </c>
      <c r="H37" s="1">
        <v>25</v>
      </c>
      <c r="I37" s="1">
        <v>30</v>
      </c>
      <c r="J37" s="1">
        <v>610</v>
      </c>
      <c r="K37" s="1" t="s">
        <v>17</v>
      </c>
      <c r="L37" s="4">
        <v>4.5</v>
      </c>
    </row>
    <row r="38" spans="1:12" x14ac:dyDescent="0.3">
      <c r="A38" s="3" t="s">
        <v>139</v>
      </c>
      <c r="B38" s="1" t="s">
        <v>140</v>
      </c>
      <c r="C38" s="1" t="s">
        <v>82</v>
      </c>
      <c r="D38" s="1" t="s">
        <v>15</v>
      </c>
      <c r="E38" s="2">
        <v>46182</v>
      </c>
      <c r="F38" s="2">
        <v>46182</v>
      </c>
      <c r="G38" s="1" t="s">
        <v>32</v>
      </c>
      <c r="H38" s="1">
        <v>32</v>
      </c>
      <c r="I38" s="1">
        <v>40</v>
      </c>
      <c r="J38" s="1">
        <v>330</v>
      </c>
      <c r="K38" s="1" t="s">
        <v>17</v>
      </c>
      <c r="L38" s="4">
        <v>5</v>
      </c>
    </row>
    <row r="39" spans="1:12" x14ac:dyDescent="0.3">
      <c r="A39" s="3" t="s">
        <v>141</v>
      </c>
      <c r="B39" s="1" t="s">
        <v>142</v>
      </c>
      <c r="C39" s="1" t="s">
        <v>86</v>
      </c>
      <c r="D39" s="1" t="s">
        <v>21</v>
      </c>
      <c r="E39" s="2">
        <v>46212</v>
      </c>
      <c r="F39" s="2">
        <v>46212</v>
      </c>
      <c r="G39" s="1" t="s">
        <v>37</v>
      </c>
      <c r="H39" s="1">
        <v>39</v>
      </c>
      <c r="I39" s="1">
        <v>50</v>
      </c>
      <c r="J39" s="1">
        <v>920</v>
      </c>
      <c r="K39" s="1" t="s">
        <v>17</v>
      </c>
      <c r="L39" s="4">
        <v>4</v>
      </c>
    </row>
    <row r="40" spans="1:12" x14ac:dyDescent="0.3">
      <c r="A40" s="3" t="s">
        <v>143</v>
      </c>
      <c r="B40" s="1" t="s">
        <v>144</v>
      </c>
      <c r="C40" s="1" t="s">
        <v>90</v>
      </c>
      <c r="D40" s="1" t="s">
        <v>26</v>
      </c>
      <c r="E40" s="2">
        <v>46243</v>
      </c>
      <c r="F40" s="2">
        <v>46243</v>
      </c>
      <c r="G40" s="1" t="s">
        <v>42</v>
      </c>
      <c r="H40" s="1">
        <v>27</v>
      </c>
      <c r="I40" s="1">
        <v>35</v>
      </c>
      <c r="J40" s="1">
        <v>690</v>
      </c>
      <c r="K40" s="1" t="s">
        <v>17</v>
      </c>
      <c r="L40" s="4">
        <v>4.5</v>
      </c>
    </row>
    <row r="41" spans="1:12" x14ac:dyDescent="0.3">
      <c r="A41" s="3" t="s">
        <v>145</v>
      </c>
      <c r="B41" s="1" t="s">
        <v>146</v>
      </c>
      <c r="C41" s="1" t="s">
        <v>94</v>
      </c>
      <c r="D41" s="1" t="s">
        <v>31</v>
      </c>
      <c r="E41" s="2">
        <v>46274</v>
      </c>
      <c r="F41" s="2">
        <v>46274</v>
      </c>
      <c r="G41" s="1"/>
      <c r="H41" s="1">
        <v>44</v>
      </c>
      <c r="I41" s="1">
        <v>60</v>
      </c>
      <c r="J41" s="1">
        <v>550</v>
      </c>
      <c r="K41" s="1" t="s">
        <v>75</v>
      </c>
      <c r="L41" s="4">
        <v>3</v>
      </c>
    </row>
    <row r="42" spans="1:12" x14ac:dyDescent="0.3">
      <c r="A42" s="3" t="s">
        <v>147</v>
      </c>
      <c r="B42" s="1" t="s">
        <v>148</v>
      </c>
      <c r="C42" s="1" t="s">
        <v>14</v>
      </c>
      <c r="D42" s="1" t="s">
        <v>36</v>
      </c>
      <c r="E42" s="2">
        <v>46304</v>
      </c>
      <c r="F42" s="2">
        <v>46304</v>
      </c>
      <c r="G42" s="1" t="s">
        <v>46</v>
      </c>
      <c r="H42" s="1">
        <v>30</v>
      </c>
      <c r="I42" s="1">
        <v>40</v>
      </c>
      <c r="J42" s="1">
        <v>470</v>
      </c>
      <c r="K42" s="1" t="s">
        <v>17</v>
      </c>
      <c r="L42" s="4">
        <v>4</v>
      </c>
    </row>
    <row r="43" spans="1:12" x14ac:dyDescent="0.3">
      <c r="A43" s="3" t="s">
        <v>149</v>
      </c>
      <c r="B43" s="1" t="s">
        <v>150</v>
      </c>
      <c r="C43" s="1" t="s">
        <v>20</v>
      </c>
      <c r="D43" s="1" t="s">
        <v>41</v>
      </c>
      <c r="E43" s="2">
        <v>46335</v>
      </c>
      <c r="F43" s="2">
        <v>46335</v>
      </c>
      <c r="G43" s="1" t="s">
        <v>16</v>
      </c>
      <c r="H43" s="1">
        <v>36</v>
      </c>
      <c r="I43" s="1">
        <v>45</v>
      </c>
      <c r="J43" s="1">
        <v>630</v>
      </c>
      <c r="K43" s="1" t="s">
        <v>17</v>
      </c>
      <c r="L43" s="4">
        <v>4.5</v>
      </c>
    </row>
    <row r="44" spans="1:12" x14ac:dyDescent="0.3">
      <c r="A44" s="3" t="s">
        <v>151</v>
      </c>
      <c r="B44" s="1" t="s">
        <v>152</v>
      </c>
      <c r="C44" s="1" t="s">
        <v>25</v>
      </c>
      <c r="D44" s="1" t="s">
        <v>15</v>
      </c>
      <c r="E44" s="2">
        <v>46365</v>
      </c>
      <c r="F44" s="2">
        <v>46365</v>
      </c>
      <c r="G44" s="1" t="s">
        <v>22</v>
      </c>
      <c r="H44" s="1">
        <v>41</v>
      </c>
      <c r="I44" s="1">
        <v>55</v>
      </c>
      <c r="J44" s="1">
        <v>790</v>
      </c>
      <c r="K44" s="1" t="s">
        <v>17</v>
      </c>
      <c r="L44" s="4">
        <v>4</v>
      </c>
    </row>
    <row r="45" spans="1:12" x14ac:dyDescent="0.3">
      <c r="A45" s="3" t="s">
        <v>153</v>
      </c>
      <c r="B45" s="1" t="s">
        <v>154</v>
      </c>
      <c r="C45" s="1" t="s">
        <v>30</v>
      </c>
      <c r="D45" s="1" t="s">
        <v>21</v>
      </c>
      <c r="E45" s="1" t="s">
        <v>155</v>
      </c>
      <c r="F45" s="1" t="s">
        <v>155</v>
      </c>
      <c r="G45" s="1" t="s">
        <v>27</v>
      </c>
      <c r="H45" s="1">
        <v>28</v>
      </c>
      <c r="I45" s="1">
        <v>30</v>
      </c>
      <c r="J45" s="1">
        <v>360</v>
      </c>
      <c r="K45" s="1" t="s">
        <v>17</v>
      </c>
      <c r="L45" s="4">
        <v>5</v>
      </c>
    </row>
    <row r="46" spans="1:12" x14ac:dyDescent="0.3">
      <c r="A46" s="3" t="s">
        <v>156</v>
      </c>
      <c r="B46" s="1" t="s">
        <v>157</v>
      </c>
      <c r="C46" s="1" t="s">
        <v>35</v>
      </c>
      <c r="D46" s="1" t="s">
        <v>26</v>
      </c>
      <c r="E46" s="1" t="s">
        <v>158</v>
      </c>
      <c r="F46" s="1" t="s">
        <v>158</v>
      </c>
      <c r="G46" s="1" t="s">
        <v>32</v>
      </c>
      <c r="H46" s="1">
        <v>33</v>
      </c>
      <c r="I46" s="1">
        <v>40</v>
      </c>
      <c r="J46" s="1">
        <v>910</v>
      </c>
      <c r="K46" s="1" t="s">
        <v>17</v>
      </c>
      <c r="L46" s="4">
        <v>4.5</v>
      </c>
    </row>
    <row r="47" spans="1:12" x14ac:dyDescent="0.3">
      <c r="A47" s="3" t="s">
        <v>159</v>
      </c>
      <c r="B47" s="1" t="s">
        <v>160</v>
      </c>
      <c r="C47" s="1" t="s">
        <v>40</v>
      </c>
      <c r="D47" s="1" t="s">
        <v>31</v>
      </c>
      <c r="E47" s="1" t="s">
        <v>161</v>
      </c>
      <c r="F47" s="1" t="s">
        <v>161</v>
      </c>
      <c r="G47" s="1" t="s">
        <v>37</v>
      </c>
      <c r="H47" s="1">
        <v>45</v>
      </c>
      <c r="I47" s="1">
        <v>60</v>
      </c>
      <c r="J47" s="1">
        <v>650</v>
      </c>
      <c r="K47" s="1" t="s">
        <v>75</v>
      </c>
      <c r="L47" s="4">
        <v>3.5</v>
      </c>
    </row>
    <row r="48" spans="1:12" x14ac:dyDescent="0.3">
      <c r="A48" s="3" t="s">
        <v>162</v>
      </c>
      <c r="B48" s="1" t="s">
        <v>163</v>
      </c>
      <c r="C48" s="1" t="s">
        <v>45</v>
      </c>
      <c r="D48" s="1" t="s">
        <v>36</v>
      </c>
      <c r="E48" s="1" t="s">
        <v>164</v>
      </c>
      <c r="F48" s="1" t="s">
        <v>164</v>
      </c>
      <c r="G48" s="1"/>
      <c r="H48" s="1">
        <v>26</v>
      </c>
      <c r="I48" s="1">
        <v>30</v>
      </c>
      <c r="J48" s="1">
        <v>520</v>
      </c>
      <c r="K48" s="1" t="s">
        <v>17</v>
      </c>
      <c r="L48" s="4">
        <v>4</v>
      </c>
    </row>
    <row r="49" spans="1:12" x14ac:dyDescent="0.3">
      <c r="A49" s="3" t="s">
        <v>165</v>
      </c>
      <c r="B49" s="1" t="s">
        <v>166</v>
      </c>
      <c r="C49" s="1" t="s">
        <v>49</v>
      </c>
      <c r="D49" s="1" t="s">
        <v>41</v>
      </c>
      <c r="E49" s="1" t="s">
        <v>167</v>
      </c>
      <c r="F49" s="1" t="s">
        <v>167</v>
      </c>
      <c r="G49" s="1" t="s">
        <v>42</v>
      </c>
      <c r="H49" s="1">
        <v>38</v>
      </c>
      <c r="I49" s="1">
        <v>45</v>
      </c>
      <c r="J49" s="1">
        <v>440</v>
      </c>
      <c r="K49" s="1" t="s">
        <v>17</v>
      </c>
      <c r="L49" s="4">
        <v>4.5</v>
      </c>
    </row>
    <row r="50" spans="1:12" x14ac:dyDescent="0.3">
      <c r="A50" s="3" t="s">
        <v>168</v>
      </c>
      <c r="B50" s="1" t="s">
        <v>169</v>
      </c>
      <c r="C50" s="1" t="s">
        <v>52</v>
      </c>
      <c r="D50" s="1" t="s">
        <v>15</v>
      </c>
      <c r="E50" s="1" t="s">
        <v>170</v>
      </c>
      <c r="F50" s="1" t="s">
        <v>170</v>
      </c>
      <c r="G50" s="1" t="s">
        <v>46</v>
      </c>
      <c r="H50" s="1">
        <v>29</v>
      </c>
      <c r="I50" s="1">
        <v>35</v>
      </c>
      <c r="J50" s="1">
        <v>700</v>
      </c>
      <c r="K50" s="1" t="s">
        <v>17</v>
      </c>
      <c r="L50" s="4">
        <v>5</v>
      </c>
    </row>
    <row r="51" spans="1:12" x14ac:dyDescent="0.3">
      <c r="A51" s="3" t="s">
        <v>171</v>
      </c>
      <c r="B51" s="1" t="s">
        <v>172</v>
      </c>
      <c r="C51" s="1" t="s">
        <v>55</v>
      </c>
      <c r="D51" s="1" t="s">
        <v>21</v>
      </c>
      <c r="E51" s="1" t="s">
        <v>173</v>
      </c>
      <c r="F51" s="1" t="s">
        <v>173</v>
      </c>
      <c r="G51" s="1" t="s">
        <v>16</v>
      </c>
      <c r="H51" s="1">
        <v>40</v>
      </c>
      <c r="I51" s="1">
        <v>50</v>
      </c>
      <c r="J51" s="1">
        <v>580</v>
      </c>
      <c r="K51" s="1" t="s">
        <v>17</v>
      </c>
      <c r="L51" s="4">
        <v>4</v>
      </c>
    </row>
    <row r="52" spans="1:12" x14ac:dyDescent="0.3">
      <c r="A52" s="3" t="s">
        <v>174</v>
      </c>
      <c r="B52" s="1" t="s">
        <v>175</v>
      </c>
      <c r="C52" s="1" t="s">
        <v>59</v>
      </c>
      <c r="D52" s="1" t="s">
        <v>26</v>
      </c>
      <c r="E52" s="1" t="s">
        <v>176</v>
      </c>
      <c r="F52" s="1" t="s">
        <v>176</v>
      </c>
      <c r="G52" s="1" t="s">
        <v>22</v>
      </c>
      <c r="H52" s="1">
        <v>31</v>
      </c>
      <c r="I52" s="1">
        <v>40</v>
      </c>
      <c r="J52" s="1">
        <v>970</v>
      </c>
      <c r="K52" s="1" t="s">
        <v>17</v>
      </c>
      <c r="L52" s="4">
        <v>4.5</v>
      </c>
    </row>
    <row r="53" spans="1:12" x14ac:dyDescent="0.3">
      <c r="A53" s="3" t="s">
        <v>177</v>
      </c>
      <c r="B53" s="1" t="s">
        <v>178</v>
      </c>
      <c r="C53" s="1" t="s">
        <v>62</v>
      </c>
      <c r="D53" s="1" t="s">
        <v>31</v>
      </c>
      <c r="E53" s="1" t="s">
        <v>179</v>
      </c>
      <c r="F53" s="1" t="s">
        <v>179</v>
      </c>
      <c r="G53" s="1" t="s">
        <v>27</v>
      </c>
      <c r="H53" s="1">
        <v>35</v>
      </c>
      <c r="I53" s="1">
        <v>45</v>
      </c>
      <c r="J53" s="1">
        <v>400</v>
      </c>
      <c r="K53" s="1" t="s">
        <v>17</v>
      </c>
      <c r="L53" s="4">
        <v>4</v>
      </c>
    </row>
    <row r="54" spans="1:12" x14ac:dyDescent="0.3">
      <c r="A54" s="3" t="s">
        <v>180</v>
      </c>
      <c r="B54" s="1" t="s">
        <v>181</v>
      </c>
      <c r="C54" s="1" t="s">
        <v>65</v>
      </c>
      <c r="D54" s="1" t="s">
        <v>36</v>
      </c>
      <c r="E54" s="1" t="s">
        <v>182</v>
      </c>
      <c r="F54" s="1" t="s">
        <v>182</v>
      </c>
      <c r="G54" s="1" t="s">
        <v>32</v>
      </c>
      <c r="H54" s="1">
        <v>27</v>
      </c>
      <c r="I54" s="1">
        <v>30</v>
      </c>
      <c r="J54" s="1">
        <v>760</v>
      </c>
      <c r="K54" s="1" t="s">
        <v>17</v>
      </c>
      <c r="L54" s="4">
        <v>5</v>
      </c>
    </row>
    <row r="55" spans="1:12" x14ac:dyDescent="0.3">
      <c r="A55" s="3" t="s">
        <v>183</v>
      </c>
      <c r="B55" s="1" t="s">
        <v>184</v>
      </c>
      <c r="C55" s="1" t="s">
        <v>69</v>
      </c>
      <c r="D55" s="1" t="s">
        <v>41</v>
      </c>
      <c r="E55" s="1" t="s">
        <v>185</v>
      </c>
      <c r="F55" s="1" t="s">
        <v>185</v>
      </c>
      <c r="G55" s="1" t="s">
        <v>37</v>
      </c>
      <c r="H55" s="1">
        <v>43</v>
      </c>
      <c r="I55" s="1">
        <v>60</v>
      </c>
      <c r="J55" s="1">
        <v>500</v>
      </c>
      <c r="K55" s="1" t="s">
        <v>75</v>
      </c>
      <c r="L55" s="4">
        <v>3.5</v>
      </c>
    </row>
    <row r="56" spans="1:12" x14ac:dyDescent="0.3">
      <c r="A56" s="3" t="s">
        <v>186</v>
      </c>
      <c r="B56" s="1" t="s">
        <v>187</v>
      </c>
      <c r="C56" s="1" t="s">
        <v>73</v>
      </c>
      <c r="D56" s="1" t="s">
        <v>15</v>
      </c>
      <c r="E56" s="1" t="s">
        <v>188</v>
      </c>
      <c r="F56" s="1" t="s">
        <v>188</v>
      </c>
      <c r="G56" s="1" t="s">
        <v>42</v>
      </c>
      <c r="H56" s="1">
        <v>30</v>
      </c>
      <c r="I56" s="1">
        <v>40</v>
      </c>
      <c r="J56" s="1">
        <v>860</v>
      </c>
      <c r="K56" s="1" t="s">
        <v>17</v>
      </c>
      <c r="L56" s="4">
        <v>4</v>
      </c>
    </row>
    <row r="57" spans="1:12" x14ac:dyDescent="0.3">
      <c r="A57" s="3" t="s">
        <v>189</v>
      </c>
      <c r="B57" s="1" t="s">
        <v>190</v>
      </c>
      <c r="C57" s="1" t="s">
        <v>78</v>
      </c>
      <c r="D57" s="1" t="s">
        <v>21</v>
      </c>
      <c r="E57" s="1" t="s">
        <v>191</v>
      </c>
      <c r="F57" s="1" t="s">
        <v>191</v>
      </c>
      <c r="G57" s="1"/>
      <c r="H57" s="1">
        <v>25</v>
      </c>
      <c r="I57" s="1">
        <v>30</v>
      </c>
      <c r="J57" s="1">
        <v>620</v>
      </c>
      <c r="K57" s="1" t="s">
        <v>17</v>
      </c>
      <c r="L57" s="4">
        <v>4.5</v>
      </c>
    </row>
    <row r="58" spans="1:12" x14ac:dyDescent="0.3">
      <c r="A58" s="3" t="s">
        <v>192</v>
      </c>
      <c r="B58" s="1" t="s">
        <v>193</v>
      </c>
      <c r="C58" s="1" t="s">
        <v>82</v>
      </c>
      <c r="D58" s="1" t="s">
        <v>26</v>
      </c>
      <c r="E58" s="1" t="s">
        <v>194</v>
      </c>
      <c r="F58" s="1" t="s">
        <v>194</v>
      </c>
      <c r="G58" s="1" t="s">
        <v>46</v>
      </c>
      <c r="H58" s="1">
        <v>34</v>
      </c>
      <c r="I58" s="1">
        <v>40</v>
      </c>
      <c r="J58" s="1">
        <v>340</v>
      </c>
      <c r="K58" s="1" t="s">
        <v>17</v>
      </c>
      <c r="L58" s="4">
        <v>5</v>
      </c>
    </row>
    <row r="59" spans="1:12" x14ac:dyDescent="0.3">
      <c r="A59" s="3" t="s">
        <v>195</v>
      </c>
      <c r="B59" s="1" t="s">
        <v>196</v>
      </c>
      <c r="C59" s="1" t="s">
        <v>86</v>
      </c>
      <c r="D59" s="1" t="s">
        <v>31</v>
      </c>
      <c r="E59" s="1" t="s">
        <v>197</v>
      </c>
      <c r="F59" s="1" t="s">
        <v>197</v>
      </c>
      <c r="G59" s="1" t="s">
        <v>16</v>
      </c>
      <c r="H59" s="1">
        <v>39</v>
      </c>
      <c r="I59" s="1">
        <v>50</v>
      </c>
      <c r="J59" s="1">
        <v>930</v>
      </c>
      <c r="K59" s="1" t="s">
        <v>17</v>
      </c>
      <c r="L59" s="4">
        <v>4</v>
      </c>
    </row>
    <row r="60" spans="1:12" x14ac:dyDescent="0.3">
      <c r="A60" s="3" t="s">
        <v>198</v>
      </c>
      <c r="B60" s="1" t="s">
        <v>199</v>
      </c>
      <c r="C60" s="1" t="s">
        <v>90</v>
      </c>
      <c r="D60" s="1" t="s">
        <v>36</v>
      </c>
      <c r="E60" s="1" t="s">
        <v>200</v>
      </c>
      <c r="F60" s="1" t="s">
        <v>200</v>
      </c>
      <c r="G60" s="1" t="s">
        <v>22</v>
      </c>
      <c r="H60" s="1">
        <v>28</v>
      </c>
      <c r="I60" s="1">
        <v>35</v>
      </c>
      <c r="J60" s="1">
        <v>710</v>
      </c>
      <c r="K60" s="1" t="s">
        <v>17</v>
      </c>
      <c r="L60" s="4">
        <v>4.5</v>
      </c>
    </row>
    <row r="61" spans="1:12" x14ac:dyDescent="0.3">
      <c r="A61" s="3" t="s">
        <v>201</v>
      </c>
      <c r="B61" s="1" t="s">
        <v>202</v>
      </c>
      <c r="C61" s="1" t="s">
        <v>94</v>
      </c>
      <c r="D61" s="1" t="s">
        <v>41</v>
      </c>
      <c r="E61" s="1" t="s">
        <v>203</v>
      </c>
      <c r="F61" s="1" t="s">
        <v>203</v>
      </c>
      <c r="G61" s="1" t="s">
        <v>27</v>
      </c>
      <c r="H61" s="1">
        <v>46</v>
      </c>
      <c r="I61" s="1">
        <v>65</v>
      </c>
      <c r="J61" s="1">
        <v>560</v>
      </c>
      <c r="K61" s="1" t="s">
        <v>75</v>
      </c>
      <c r="L61" s="4">
        <v>3</v>
      </c>
    </row>
    <row r="62" spans="1:12" x14ac:dyDescent="0.3">
      <c r="A62" s="3" t="s">
        <v>204</v>
      </c>
      <c r="B62" s="1" t="s">
        <v>205</v>
      </c>
      <c r="C62" s="1" t="s">
        <v>14</v>
      </c>
      <c r="D62" s="1" t="s">
        <v>15</v>
      </c>
      <c r="E62" s="1" t="s">
        <v>206</v>
      </c>
      <c r="F62" s="1" t="s">
        <v>206</v>
      </c>
      <c r="G62" s="1" t="s">
        <v>32</v>
      </c>
      <c r="H62" s="1">
        <v>31</v>
      </c>
      <c r="I62" s="1">
        <v>40</v>
      </c>
      <c r="J62" s="1">
        <v>480</v>
      </c>
      <c r="K62" s="1" t="s">
        <v>17</v>
      </c>
      <c r="L62" s="4">
        <v>4</v>
      </c>
    </row>
    <row r="63" spans="1:12" x14ac:dyDescent="0.3">
      <c r="A63" s="3" t="s">
        <v>207</v>
      </c>
      <c r="B63" s="1" t="s">
        <v>208</v>
      </c>
      <c r="C63" s="1" t="s">
        <v>20</v>
      </c>
      <c r="D63" s="1" t="s">
        <v>21</v>
      </c>
      <c r="E63" s="2">
        <v>46032</v>
      </c>
      <c r="F63" s="2">
        <v>46032</v>
      </c>
      <c r="G63" s="1" t="s">
        <v>37</v>
      </c>
      <c r="H63" s="1">
        <v>29</v>
      </c>
      <c r="I63" s="1">
        <v>35</v>
      </c>
      <c r="J63" s="1">
        <v>650</v>
      </c>
      <c r="K63" s="1" t="s">
        <v>17</v>
      </c>
      <c r="L63" s="4">
        <v>4.5</v>
      </c>
    </row>
    <row r="64" spans="1:12" x14ac:dyDescent="0.3">
      <c r="A64" s="3" t="s">
        <v>209</v>
      </c>
      <c r="B64" s="1" t="s">
        <v>210</v>
      </c>
      <c r="C64" s="1" t="s">
        <v>25</v>
      </c>
      <c r="D64" s="1" t="s">
        <v>26</v>
      </c>
      <c r="E64" s="2">
        <v>46063</v>
      </c>
      <c r="F64" s="2">
        <v>46063</v>
      </c>
      <c r="G64" s="1" t="s">
        <v>42</v>
      </c>
      <c r="H64" s="1">
        <v>37</v>
      </c>
      <c r="I64" s="1">
        <v>50</v>
      </c>
      <c r="J64" s="1">
        <v>810</v>
      </c>
      <c r="K64" s="1" t="s">
        <v>17</v>
      </c>
      <c r="L64" s="4">
        <v>4</v>
      </c>
    </row>
    <row r="65" spans="1:12" x14ac:dyDescent="0.3">
      <c r="A65" s="3" t="s">
        <v>211</v>
      </c>
      <c r="B65" s="1" t="s">
        <v>212</v>
      </c>
      <c r="C65" s="1" t="s">
        <v>30</v>
      </c>
      <c r="D65" s="1" t="s">
        <v>31</v>
      </c>
      <c r="E65" s="2">
        <v>46091</v>
      </c>
      <c r="F65" s="2">
        <v>46091</v>
      </c>
      <c r="G65" s="1" t="s">
        <v>46</v>
      </c>
      <c r="H65" s="1">
        <v>24</v>
      </c>
      <c r="I65" s="1">
        <v>30</v>
      </c>
      <c r="J65" s="1">
        <v>380</v>
      </c>
      <c r="K65" s="1" t="s">
        <v>17</v>
      </c>
      <c r="L65" s="4">
        <v>5</v>
      </c>
    </row>
    <row r="66" spans="1:12" x14ac:dyDescent="0.3">
      <c r="A66" s="3" t="s">
        <v>213</v>
      </c>
      <c r="B66" s="1" t="s">
        <v>214</v>
      </c>
      <c r="C66" s="1" t="s">
        <v>35</v>
      </c>
      <c r="D66" s="1" t="s">
        <v>36</v>
      </c>
      <c r="E66" s="2">
        <v>46122</v>
      </c>
      <c r="F66" s="2">
        <v>46122</v>
      </c>
      <c r="G66" s="1" t="s">
        <v>16</v>
      </c>
      <c r="H66" s="1">
        <v>34</v>
      </c>
      <c r="I66" s="1">
        <v>45</v>
      </c>
      <c r="J66" s="1">
        <v>940</v>
      </c>
      <c r="K66" s="1" t="s">
        <v>17</v>
      </c>
      <c r="L66" s="4">
        <v>4.5</v>
      </c>
    </row>
    <row r="67" spans="1:12" x14ac:dyDescent="0.3">
      <c r="A67" s="3" t="s">
        <v>215</v>
      </c>
      <c r="B67" s="1" t="s">
        <v>216</v>
      </c>
      <c r="C67" s="1" t="s">
        <v>40</v>
      </c>
      <c r="D67" s="1" t="s">
        <v>41</v>
      </c>
      <c r="E67" s="2">
        <v>46152</v>
      </c>
      <c r="F67" s="2">
        <v>46152</v>
      </c>
      <c r="G67" s="1" t="s">
        <v>22</v>
      </c>
      <c r="H67" s="1">
        <v>41</v>
      </c>
      <c r="I67" s="1">
        <v>55</v>
      </c>
      <c r="J67" s="1">
        <v>670</v>
      </c>
      <c r="K67" s="1" t="s">
        <v>17</v>
      </c>
      <c r="L67" s="4">
        <v>4</v>
      </c>
    </row>
    <row r="68" spans="1:12" x14ac:dyDescent="0.3">
      <c r="A68" s="3" t="s">
        <v>217</v>
      </c>
      <c r="B68" s="1" t="s">
        <v>218</v>
      </c>
      <c r="C68" s="1" t="s">
        <v>45</v>
      </c>
      <c r="D68" s="1" t="s">
        <v>15</v>
      </c>
      <c r="E68" s="2">
        <v>46183</v>
      </c>
      <c r="F68" s="2">
        <v>46183</v>
      </c>
      <c r="G68" s="1"/>
      <c r="H68" s="1">
        <v>27</v>
      </c>
      <c r="I68" s="1">
        <v>30</v>
      </c>
      <c r="J68" s="1">
        <v>530</v>
      </c>
      <c r="K68" s="1" t="s">
        <v>17</v>
      </c>
      <c r="L68" s="4">
        <v>4.5</v>
      </c>
    </row>
    <row r="69" spans="1:12" x14ac:dyDescent="0.3">
      <c r="A69" s="3" t="s">
        <v>219</v>
      </c>
      <c r="B69" s="1" t="s">
        <v>220</v>
      </c>
      <c r="C69" s="1" t="s">
        <v>49</v>
      </c>
      <c r="D69" s="1" t="s">
        <v>21</v>
      </c>
      <c r="E69" s="2">
        <v>46213</v>
      </c>
      <c r="F69" s="2">
        <v>46213</v>
      </c>
      <c r="G69" s="1" t="s">
        <v>27</v>
      </c>
      <c r="H69" s="1">
        <v>36</v>
      </c>
      <c r="I69" s="1">
        <v>45</v>
      </c>
      <c r="J69" s="1">
        <v>450</v>
      </c>
      <c r="K69" s="1" t="s">
        <v>17</v>
      </c>
      <c r="L69" s="4">
        <v>4</v>
      </c>
    </row>
    <row r="70" spans="1:12" x14ac:dyDescent="0.3">
      <c r="A70" s="3" t="s">
        <v>221</v>
      </c>
      <c r="B70" s="1" t="s">
        <v>222</v>
      </c>
      <c r="C70" s="1" t="s">
        <v>52</v>
      </c>
      <c r="D70" s="1" t="s">
        <v>26</v>
      </c>
      <c r="E70" s="2">
        <v>46244</v>
      </c>
      <c r="F70" s="2">
        <v>46244</v>
      </c>
      <c r="G70" s="1" t="s">
        <v>32</v>
      </c>
      <c r="H70" s="1">
        <v>30</v>
      </c>
      <c r="I70" s="1">
        <v>35</v>
      </c>
      <c r="J70" s="1">
        <v>690</v>
      </c>
      <c r="K70" s="1" t="s">
        <v>17</v>
      </c>
      <c r="L70" s="4">
        <v>5</v>
      </c>
    </row>
    <row r="71" spans="1:12" x14ac:dyDescent="0.3">
      <c r="A71" s="3" t="s">
        <v>223</v>
      </c>
      <c r="B71" s="1" t="s">
        <v>224</v>
      </c>
      <c r="C71" s="1" t="s">
        <v>55</v>
      </c>
      <c r="D71" s="1" t="s">
        <v>31</v>
      </c>
      <c r="E71" s="2">
        <v>46275</v>
      </c>
      <c r="F71" s="2">
        <v>46275</v>
      </c>
      <c r="G71" s="1" t="s">
        <v>37</v>
      </c>
      <c r="H71" s="1">
        <v>44</v>
      </c>
      <c r="I71" s="1">
        <v>60</v>
      </c>
      <c r="J71" s="1">
        <v>590</v>
      </c>
      <c r="K71" s="1" t="s">
        <v>75</v>
      </c>
      <c r="L71" s="4">
        <v>3.5</v>
      </c>
    </row>
    <row r="72" spans="1:12" x14ac:dyDescent="0.3">
      <c r="A72" s="3" t="s">
        <v>225</v>
      </c>
      <c r="B72" s="1" t="s">
        <v>226</v>
      </c>
      <c r="C72" s="1" t="s">
        <v>59</v>
      </c>
      <c r="D72" s="1" t="s">
        <v>36</v>
      </c>
      <c r="E72" s="2">
        <v>46305</v>
      </c>
      <c r="F72" s="2">
        <v>46305</v>
      </c>
      <c r="G72" s="1" t="s">
        <v>42</v>
      </c>
      <c r="H72" s="1">
        <v>32</v>
      </c>
      <c r="I72" s="1">
        <v>40</v>
      </c>
      <c r="J72" s="1">
        <v>980</v>
      </c>
      <c r="K72" s="1" t="s">
        <v>17</v>
      </c>
      <c r="L72" s="4">
        <v>4.5</v>
      </c>
    </row>
    <row r="73" spans="1:12" x14ac:dyDescent="0.3">
      <c r="A73" s="3" t="s">
        <v>227</v>
      </c>
      <c r="B73" s="1" t="s">
        <v>228</v>
      </c>
      <c r="C73" s="1" t="s">
        <v>62</v>
      </c>
      <c r="D73" s="1" t="s">
        <v>41</v>
      </c>
      <c r="E73" s="2">
        <v>46336</v>
      </c>
      <c r="F73" s="2">
        <v>46336</v>
      </c>
      <c r="G73" s="1" t="s">
        <v>46</v>
      </c>
      <c r="H73" s="1">
        <v>28</v>
      </c>
      <c r="I73" s="1">
        <v>35</v>
      </c>
      <c r="J73" s="1">
        <v>420</v>
      </c>
      <c r="K73" s="1" t="s">
        <v>17</v>
      </c>
      <c r="L73" s="4">
        <v>4</v>
      </c>
    </row>
    <row r="74" spans="1:12" x14ac:dyDescent="0.3">
      <c r="A74" s="3" t="s">
        <v>229</v>
      </c>
      <c r="B74" s="1" t="s">
        <v>230</v>
      </c>
      <c r="C74" s="1" t="s">
        <v>65</v>
      </c>
      <c r="D74" s="1" t="s">
        <v>15</v>
      </c>
      <c r="E74" s="2">
        <v>46366</v>
      </c>
      <c r="F74" s="2">
        <v>46366</v>
      </c>
      <c r="G74" s="1" t="s">
        <v>16</v>
      </c>
      <c r="H74" s="1">
        <v>35</v>
      </c>
      <c r="I74" s="1">
        <v>45</v>
      </c>
      <c r="J74" s="1">
        <v>770</v>
      </c>
      <c r="K74" s="1" t="s">
        <v>17</v>
      </c>
      <c r="L74" s="4">
        <v>5</v>
      </c>
    </row>
    <row r="75" spans="1:12" x14ac:dyDescent="0.3">
      <c r="A75" s="3" t="s">
        <v>231</v>
      </c>
      <c r="B75" s="1" t="s">
        <v>232</v>
      </c>
      <c r="C75" s="1" t="s">
        <v>69</v>
      </c>
      <c r="D75" s="1" t="s">
        <v>21</v>
      </c>
      <c r="E75" s="1" t="s">
        <v>233</v>
      </c>
      <c r="F75" s="1" t="s">
        <v>233</v>
      </c>
      <c r="G75" s="1" t="s">
        <v>22</v>
      </c>
      <c r="H75" s="1">
        <v>40</v>
      </c>
      <c r="I75" s="1">
        <v>50</v>
      </c>
      <c r="J75" s="1">
        <v>510</v>
      </c>
      <c r="K75" s="1" t="s">
        <v>17</v>
      </c>
      <c r="L75" s="4">
        <v>4</v>
      </c>
    </row>
    <row r="76" spans="1:12" x14ac:dyDescent="0.3">
      <c r="A76" s="3" t="s">
        <v>234</v>
      </c>
      <c r="B76" s="1" t="s">
        <v>235</v>
      </c>
      <c r="C76" s="1" t="s">
        <v>73</v>
      </c>
      <c r="D76" s="1" t="s">
        <v>26</v>
      </c>
      <c r="E76" s="1" t="s">
        <v>236</v>
      </c>
      <c r="F76" s="1" t="s">
        <v>236</v>
      </c>
      <c r="G76" s="1" t="s">
        <v>27</v>
      </c>
      <c r="H76" s="1">
        <v>29</v>
      </c>
      <c r="I76" s="1">
        <v>35</v>
      </c>
      <c r="J76" s="1">
        <v>870</v>
      </c>
      <c r="K76" s="1" t="s">
        <v>17</v>
      </c>
      <c r="L76" s="4">
        <v>4.5</v>
      </c>
    </row>
    <row r="77" spans="1:12" x14ac:dyDescent="0.3">
      <c r="A77" s="3" t="s">
        <v>237</v>
      </c>
      <c r="B77" s="1" t="s">
        <v>238</v>
      </c>
      <c r="C77" s="1" t="s">
        <v>78</v>
      </c>
      <c r="D77" s="1" t="s">
        <v>31</v>
      </c>
      <c r="E77" s="1" t="s">
        <v>239</v>
      </c>
      <c r="F77" s="1" t="s">
        <v>239</v>
      </c>
      <c r="G77" s="1" t="s">
        <v>32</v>
      </c>
      <c r="H77" s="1">
        <v>33</v>
      </c>
      <c r="I77" s="1">
        <v>40</v>
      </c>
      <c r="J77" s="1">
        <v>630</v>
      </c>
      <c r="K77" s="1" t="s">
        <v>17</v>
      </c>
      <c r="L77" s="4">
        <v>4</v>
      </c>
    </row>
    <row r="78" spans="1:12" x14ac:dyDescent="0.3">
      <c r="A78" s="3" t="s">
        <v>240</v>
      </c>
      <c r="B78" s="1" t="s">
        <v>241</v>
      </c>
      <c r="C78" s="1" t="s">
        <v>82</v>
      </c>
      <c r="D78" s="1" t="s">
        <v>36</v>
      </c>
      <c r="E78" s="1" t="s">
        <v>242</v>
      </c>
      <c r="F78" s="1" t="s">
        <v>242</v>
      </c>
      <c r="G78" s="1"/>
      <c r="H78" s="1">
        <v>26</v>
      </c>
      <c r="I78" s="1">
        <v>30</v>
      </c>
      <c r="J78" s="1">
        <v>350</v>
      </c>
      <c r="K78" s="1" t="s">
        <v>17</v>
      </c>
      <c r="L78" s="4">
        <v>5</v>
      </c>
    </row>
    <row r="79" spans="1:12" x14ac:dyDescent="0.3">
      <c r="A79" s="3" t="s">
        <v>243</v>
      </c>
      <c r="B79" s="1" t="s">
        <v>244</v>
      </c>
      <c r="C79" s="1" t="s">
        <v>86</v>
      </c>
      <c r="D79" s="1" t="s">
        <v>41</v>
      </c>
      <c r="E79" s="1" t="s">
        <v>245</v>
      </c>
      <c r="F79" s="1" t="s">
        <v>245</v>
      </c>
      <c r="G79" s="1" t="s">
        <v>37</v>
      </c>
      <c r="H79" s="1">
        <v>42</v>
      </c>
      <c r="I79" s="1">
        <v>55</v>
      </c>
      <c r="J79" s="1">
        <v>950</v>
      </c>
      <c r="K79" s="1" t="s">
        <v>75</v>
      </c>
      <c r="L79" s="4">
        <v>3</v>
      </c>
    </row>
    <row r="80" spans="1:12" x14ac:dyDescent="0.3">
      <c r="A80" s="3" t="s">
        <v>246</v>
      </c>
      <c r="B80" s="1" t="s">
        <v>247</v>
      </c>
      <c r="C80" s="1" t="s">
        <v>90</v>
      </c>
      <c r="D80" s="1" t="s">
        <v>15</v>
      </c>
      <c r="E80" s="1" t="s">
        <v>248</v>
      </c>
      <c r="F80" s="1" t="s">
        <v>248</v>
      </c>
      <c r="G80" s="1" t="s">
        <v>42</v>
      </c>
      <c r="H80" s="1">
        <v>31</v>
      </c>
      <c r="I80" s="1">
        <v>40</v>
      </c>
      <c r="J80" s="1">
        <v>720</v>
      </c>
      <c r="K80" s="1" t="s">
        <v>17</v>
      </c>
      <c r="L80" s="4">
        <v>4.5</v>
      </c>
    </row>
    <row r="81" spans="1:12" x14ac:dyDescent="0.3">
      <c r="A81" s="3" t="s">
        <v>249</v>
      </c>
      <c r="B81" s="1" t="s">
        <v>250</v>
      </c>
      <c r="C81" s="1" t="s">
        <v>94</v>
      </c>
      <c r="D81" s="1" t="s">
        <v>21</v>
      </c>
      <c r="E81" s="1" t="s">
        <v>251</v>
      </c>
      <c r="F81" s="1" t="s">
        <v>251</v>
      </c>
      <c r="G81" s="1" t="s">
        <v>46</v>
      </c>
      <c r="H81" s="1">
        <v>38</v>
      </c>
      <c r="I81" s="1">
        <v>50</v>
      </c>
      <c r="J81" s="1">
        <v>570</v>
      </c>
      <c r="K81" s="1" t="s">
        <v>17</v>
      </c>
      <c r="L81" s="4">
        <v>4</v>
      </c>
    </row>
    <row r="82" spans="1:12" x14ac:dyDescent="0.3">
      <c r="A82" s="3" t="s">
        <v>252</v>
      </c>
      <c r="B82" s="1" t="s">
        <v>253</v>
      </c>
      <c r="C82" s="1" t="s">
        <v>14</v>
      </c>
      <c r="D82" s="1" t="s">
        <v>26</v>
      </c>
      <c r="E82" s="1" t="s">
        <v>254</v>
      </c>
      <c r="F82" s="1" t="s">
        <v>254</v>
      </c>
      <c r="G82" s="1" t="s">
        <v>16</v>
      </c>
      <c r="H82" s="1">
        <v>27</v>
      </c>
      <c r="I82" s="1">
        <v>30</v>
      </c>
      <c r="J82" s="1">
        <v>490</v>
      </c>
      <c r="K82" s="1" t="s">
        <v>17</v>
      </c>
      <c r="L82" s="4">
        <v>4.5</v>
      </c>
    </row>
    <row r="83" spans="1:12" x14ac:dyDescent="0.3">
      <c r="A83" s="3" t="s">
        <v>255</v>
      </c>
      <c r="B83" s="1" t="s">
        <v>256</v>
      </c>
      <c r="C83" s="1" t="s">
        <v>20</v>
      </c>
      <c r="D83" s="1" t="s">
        <v>31</v>
      </c>
      <c r="E83" s="1" t="s">
        <v>257</v>
      </c>
      <c r="F83" s="1" t="s">
        <v>257</v>
      </c>
      <c r="G83" s="1" t="s">
        <v>22</v>
      </c>
      <c r="H83" s="1">
        <v>34</v>
      </c>
      <c r="I83" s="1">
        <v>40</v>
      </c>
      <c r="J83" s="1">
        <v>660</v>
      </c>
      <c r="K83" s="1" t="s">
        <v>17</v>
      </c>
      <c r="L83" s="4">
        <v>4</v>
      </c>
    </row>
    <row r="84" spans="1:12" x14ac:dyDescent="0.3">
      <c r="A84" s="3" t="s">
        <v>258</v>
      </c>
      <c r="B84" s="1" t="s">
        <v>259</v>
      </c>
      <c r="C84" s="1" t="s">
        <v>25</v>
      </c>
      <c r="D84" s="1" t="s">
        <v>36</v>
      </c>
      <c r="E84" s="1" t="s">
        <v>260</v>
      </c>
      <c r="F84" s="1" t="s">
        <v>260</v>
      </c>
      <c r="G84" s="1" t="s">
        <v>27</v>
      </c>
      <c r="H84" s="1">
        <v>45</v>
      </c>
      <c r="I84" s="1">
        <v>65</v>
      </c>
      <c r="J84" s="1">
        <v>820</v>
      </c>
      <c r="K84" s="1" t="s">
        <v>75</v>
      </c>
      <c r="L84" s="4">
        <v>3.5</v>
      </c>
    </row>
    <row r="85" spans="1:12" x14ac:dyDescent="0.3">
      <c r="A85" s="3" t="s">
        <v>261</v>
      </c>
      <c r="B85" s="1" t="s">
        <v>262</v>
      </c>
      <c r="C85" s="1" t="s">
        <v>30</v>
      </c>
      <c r="D85" s="1" t="s">
        <v>41</v>
      </c>
      <c r="E85" s="1" t="s">
        <v>263</v>
      </c>
      <c r="F85" s="1" t="s">
        <v>263</v>
      </c>
      <c r="G85" s="1" t="s">
        <v>32</v>
      </c>
      <c r="H85" s="1">
        <v>29</v>
      </c>
      <c r="I85" s="1">
        <v>35</v>
      </c>
      <c r="J85" s="1">
        <v>390</v>
      </c>
      <c r="K85" s="1" t="s">
        <v>17</v>
      </c>
      <c r="L85" s="4">
        <v>5</v>
      </c>
    </row>
    <row r="86" spans="1:12" x14ac:dyDescent="0.3">
      <c r="A86" s="3" t="s">
        <v>264</v>
      </c>
      <c r="B86" s="1" t="s">
        <v>265</v>
      </c>
      <c r="C86" s="1" t="s">
        <v>35</v>
      </c>
      <c r="D86" s="1" t="s">
        <v>15</v>
      </c>
      <c r="E86" s="1" t="s">
        <v>266</v>
      </c>
      <c r="F86" s="1" t="s">
        <v>266</v>
      </c>
      <c r="G86" s="1" t="s">
        <v>37</v>
      </c>
      <c r="H86" s="1">
        <v>32</v>
      </c>
      <c r="I86" s="1">
        <v>40</v>
      </c>
      <c r="J86" s="1">
        <v>960</v>
      </c>
      <c r="K86" s="1" t="s">
        <v>17</v>
      </c>
      <c r="L86" s="4">
        <v>4.5</v>
      </c>
    </row>
    <row r="87" spans="1:12" x14ac:dyDescent="0.3">
      <c r="A87" s="3" t="s">
        <v>267</v>
      </c>
      <c r="B87" s="1" t="s">
        <v>268</v>
      </c>
      <c r="C87" s="1" t="s">
        <v>40</v>
      </c>
      <c r="D87" s="1" t="s">
        <v>21</v>
      </c>
      <c r="E87" s="1" t="s">
        <v>269</v>
      </c>
      <c r="F87" s="1" t="s">
        <v>269</v>
      </c>
      <c r="G87" s="1" t="s">
        <v>42</v>
      </c>
      <c r="H87" s="1">
        <v>39</v>
      </c>
      <c r="I87" s="1">
        <v>50</v>
      </c>
      <c r="J87" s="1">
        <v>680</v>
      </c>
      <c r="K87" s="1" t="s">
        <v>17</v>
      </c>
      <c r="L87" s="4">
        <v>4</v>
      </c>
    </row>
    <row r="88" spans="1:12" x14ac:dyDescent="0.3">
      <c r="A88" s="3" t="s">
        <v>270</v>
      </c>
      <c r="B88" s="1" t="s">
        <v>271</v>
      </c>
      <c r="C88" s="1" t="s">
        <v>45</v>
      </c>
      <c r="D88" s="1" t="s">
        <v>26</v>
      </c>
      <c r="E88" s="1" t="s">
        <v>272</v>
      </c>
      <c r="F88" s="1" t="s">
        <v>272</v>
      </c>
      <c r="G88" s="1" t="s">
        <v>46</v>
      </c>
      <c r="H88" s="1">
        <v>25</v>
      </c>
      <c r="I88" s="1">
        <v>30</v>
      </c>
      <c r="J88" s="1">
        <v>540</v>
      </c>
      <c r="K88" s="1" t="s">
        <v>17</v>
      </c>
      <c r="L88" s="4">
        <v>4.5</v>
      </c>
    </row>
    <row r="89" spans="1:12" x14ac:dyDescent="0.3">
      <c r="A89" s="3" t="s">
        <v>273</v>
      </c>
      <c r="B89" s="1" t="s">
        <v>274</v>
      </c>
      <c r="C89" s="1" t="s">
        <v>49</v>
      </c>
      <c r="D89" s="1" t="s">
        <v>31</v>
      </c>
      <c r="E89" s="1" t="s">
        <v>275</v>
      </c>
      <c r="F89" s="1" t="s">
        <v>275</v>
      </c>
      <c r="G89" s="1" t="s">
        <v>16</v>
      </c>
      <c r="H89" s="1">
        <v>37</v>
      </c>
      <c r="I89" s="1">
        <v>45</v>
      </c>
      <c r="J89" s="1">
        <v>460</v>
      </c>
      <c r="K89" s="1" t="s">
        <v>17</v>
      </c>
      <c r="L89" s="4">
        <v>4</v>
      </c>
    </row>
    <row r="90" spans="1:12" x14ac:dyDescent="0.3">
      <c r="A90" s="3" t="s">
        <v>276</v>
      </c>
      <c r="B90" s="1" t="s">
        <v>277</v>
      </c>
      <c r="C90" s="1" t="s">
        <v>52</v>
      </c>
      <c r="D90" s="1" t="s">
        <v>36</v>
      </c>
      <c r="E90" s="1" t="s">
        <v>278</v>
      </c>
      <c r="F90" s="1" t="s">
        <v>278</v>
      </c>
      <c r="G90" s="1" t="s">
        <v>22</v>
      </c>
      <c r="H90" s="1">
        <v>30</v>
      </c>
      <c r="I90" s="1">
        <v>35</v>
      </c>
      <c r="J90" s="1">
        <v>730</v>
      </c>
      <c r="K90" s="1" t="s">
        <v>17</v>
      </c>
      <c r="L90" s="4">
        <v>5</v>
      </c>
    </row>
    <row r="91" spans="1:12" x14ac:dyDescent="0.3">
      <c r="A91" s="3" t="s">
        <v>279</v>
      </c>
      <c r="B91" s="1" t="s">
        <v>280</v>
      </c>
      <c r="C91" s="1" t="s">
        <v>55</v>
      </c>
      <c r="D91" s="1" t="s">
        <v>41</v>
      </c>
      <c r="E91" s="1" t="s">
        <v>281</v>
      </c>
      <c r="F91" s="1" t="s">
        <v>281</v>
      </c>
      <c r="G91" s="1"/>
      <c r="H91" s="1">
        <v>43</v>
      </c>
      <c r="I91" s="1">
        <v>60</v>
      </c>
      <c r="J91" s="1">
        <v>600</v>
      </c>
      <c r="K91" s="1" t="s">
        <v>75</v>
      </c>
      <c r="L91" s="4">
        <v>3</v>
      </c>
    </row>
    <row r="92" spans="1:12" x14ac:dyDescent="0.3">
      <c r="A92" s="3" t="s">
        <v>282</v>
      </c>
      <c r="B92" s="1" t="s">
        <v>283</v>
      </c>
      <c r="C92" s="1" t="s">
        <v>59</v>
      </c>
      <c r="D92" s="1" t="s">
        <v>15</v>
      </c>
      <c r="E92" s="1" t="s">
        <v>284</v>
      </c>
      <c r="F92" s="1" t="s">
        <v>284</v>
      </c>
      <c r="G92" s="1" t="s">
        <v>27</v>
      </c>
      <c r="H92" s="1">
        <v>28</v>
      </c>
      <c r="I92" s="1">
        <v>35</v>
      </c>
      <c r="J92" s="1">
        <v>990</v>
      </c>
      <c r="K92" s="1" t="s">
        <v>17</v>
      </c>
      <c r="L92" s="4">
        <v>4.5</v>
      </c>
    </row>
    <row r="93" spans="1:12" x14ac:dyDescent="0.3">
      <c r="A93" s="3" t="s">
        <v>285</v>
      </c>
      <c r="B93" s="1" t="s">
        <v>286</v>
      </c>
      <c r="C93" s="1" t="s">
        <v>62</v>
      </c>
      <c r="D93" s="1" t="s">
        <v>21</v>
      </c>
      <c r="E93" s="1" t="s">
        <v>287</v>
      </c>
      <c r="F93" s="1" t="s">
        <v>287</v>
      </c>
      <c r="G93" s="1" t="s">
        <v>32</v>
      </c>
      <c r="H93" s="1">
        <v>36</v>
      </c>
      <c r="I93" s="1">
        <v>45</v>
      </c>
      <c r="J93" s="1">
        <v>430</v>
      </c>
      <c r="K93" s="1" t="s">
        <v>17</v>
      </c>
      <c r="L93" s="4">
        <v>4</v>
      </c>
    </row>
    <row r="94" spans="1:12" x14ac:dyDescent="0.3">
      <c r="A94" s="3" t="s">
        <v>288</v>
      </c>
      <c r="B94" s="1" t="s">
        <v>289</v>
      </c>
      <c r="C94" s="1" t="s">
        <v>65</v>
      </c>
      <c r="D94" s="1" t="s">
        <v>26</v>
      </c>
      <c r="E94" s="2">
        <v>46033</v>
      </c>
      <c r="F94" s="2">
        <v>46033</v>
      </c>
      <c r="G94" s="1" t="s">
        <v>37</v>
      </c>
      <c r="H94" s="1">
        <v>31</v>
      </c>
      <c r="I94" s="1">
        <v>40</v>
      </c>
      <c r="J94" s="1">
        <v>790</v>
      </c>
      <c r="K94" s="1" t="s">
        <v>17</v>
      </c>
      <c r="L94" s="4">
        <v>5</v>
      </c>
    </row>
    <row r="95" spans="1:12" x14ac:dyDescent="0.3">
      <c r="A95" s="3" t="s">
        <v>290</v>
      </c>
      <c r="B95" s="1" t="s">
        <v>291</v>
      </c>
      <c r="C95" s="1" t="s">
        <v>69</v>
      </c>
      <c r="D95" s="1" t="s">
        <v>31</v>
      </c>
      <c r="E95" s="2">
        <v>46064</v>
      </c>
      <c r="F95" s="2">
        <v>46064</v>
      </c>
      <c r="G95" s="1" t="s">
        <v>42</v>
      </c>
      <c r="H95" s="1">
        <v>41</v>
      </c>
      <c r="I95" s="1">
        <v>55</v>
      </c>
      <c r="J95" s="1">
        <v>520</v>
      </c>
      <c r="K95" s="1" t="s">
        <v>17</v>
      </c>
      <c r="L95" s="4">
        <v>4</v>
      </c>
    </row>
    <row r="96" spans="1:12" x14ac:dyDescent="0.3">
      <c r="A96" s="3" t="s">
        <v>292</v>
      </c>
      <c r="B96" s="1" t="s">
        <v>293</v>
      </c>
      <c r="C96" s="1" t="s">
        <v>73</v>
      </c>
      <c r="D96" s="1" t="s">
        <v>36</v>
      </c>
      <c r="E96" s="2">
        <v>46092</v>
      </c>
      <c r="F96" s="2">
        <v>46092</v>
      </c>
      <c r="G96" s="1" t="s">
        <v>46</v>
      </c>
      <c r="H96" s="1">
        <v>27</v>
      </c>
      <c r="I96" s="1">
        <v>30</v>
      </c>
      <c r="J96" s="1">
        <v>890</v>
      </c>
      <c r="K96" s="1" t="s">
        <v>17</v>
      </c>
      <c r="L96" s="4">
        <v>4.5</v>
      </c>
    </row>
    <row r="97" spans="1:12" x14ac:dyDescent="0.3">
      <c r="A97" s="3" t="s">
        <v>294</v>
      </c>
      <c r="B97" s="1" t="s">
        <v>295</v>
      </c>
      <c r="C97" s="1" t="s">
        <v>78</v>
      </c>
      <c r="D97" s="1" t="s">
        <v>41</v>
      </c>
      <c r="E97" s="2">
        <v>46123</v>
      </c>
      <c r="F97" s="2">
        <v>46123</v>
      </c>
      <c r="G97" s="1" t="s">
        <v>16</v>
      </c>
      <c r="H97" s="1">
        <v>34</v>
      </c>
      <c r="I97" s="1">
        <v>40</v>
      </c>
      <c r="J97" s="1">
        <v>650</v>
      </c>
      <c r="K97" s="1" t="s">
        <v>17</v>
      </c>
      <c r="L97" s="4">
        <v>4</v>
      </c>
    </row>
    <row r="98" spans="1:12" x14ac:dyDescent="0.3">
      <c r="A98" s="3" t="s">
        <v>296</v>
      </c>
      <c r="B98" s="1" t="s">
        <v>297</v>
      </c>
      <c r="C98" s="1" t="s">
        <v>82</v>
      </c>
      <c r="D98" s="1" t="s">
        <v>15</v>
      </c>
      <c r="E98" s="2">
        <v>46153</v>
      </c>
      <c r="F98" s="2">
        <v>46153</v>
      </c>
      <c r="G98" s="1" t="s">
        <v>22</v>
      </c>
      <c r="H98" s="1">
        <v>24</v>
      </c>
      <c r="I98" s="1">
        <v>30</v>
      </c>
      <c r="J98" s="1">
        <v>360</v>
      </c>
      <c r="K98" s="1" t="s">
        <v>17</v>
      </c>
      <c r="L98" s="4">
        <v>5</v>
      </c>
    </row>
    <row r="99" spans="1:12" x14ac:dyDescent="0.3">
      <c r="A99" s="3" t="s">
        <v>298</v>
      </c>
      <c r="B99" s="1" t="s">
        <v>299</v>
      </c>
      <c r="C99" s="1" t="s">
        <v>86</v>
      </c>
      <c r="D99" s="1" t="s">
        <v>21</v>
      </c>
      <c r="E99" s="2">
        <v>46184</v>
      </c>
      <c r="F99" s="2">
        <v>46184</v>
      </c>
      <c r="G99" s="1" t="s">
        <v>27</v>
      </c>
      <c r="H99" s="1">
        <v>40</v>
      </c>
      <c r="I99" s="1">
        <v>50</v>
      </c>
      <c r="J99" s="1">
        <v>970</v>
      </c>
      <c r="K99" s="1" t="s">
        <v>75</v>
      </c>
      <c r="L99" s="4">
        <v>3.5</v>
      </c>
    </row>
    <row r="100" spans="1:12" x14ac:dyDescent="0.3">
      <c r="A100" s="3" t="s">
        <v>300</v>
      </c>
      <c r="B100" s="1" t="s">
        <v>301</v>
      </c>
      <c r="C100" s="1" t="s">
        <v>90</v>
      </c>
      <c r="D100" s="1" t="s">
        <v>26</v>
      </c>
      <c r="E100" s="2">
        <v>46214</v>
      </c>
      <c r="F100" s="2">
        <v>46214</v>
      </c>
      <c r="G100" s="1" t="s">
        <v>32</v>
      </c>
      <c r="H100" s="1">
        <v>29</v>
      </c>
      <c r="I100" s="1">
        <v>35</v>
      </c>
      <c r="J100" s="1">
        <v>740</v>
      </c>
      <c r="K100" s="1" t="s">
        <v>17</v>
      </c>
      <c r="L100" s="4">
        <v>4.5</v>
      </c>
    </row>
    <row r="101" spans="1:12" x14ac:dyDescent="0.3">
      <c r="A101" s="3" t="s">
        <v>302</v>
      </c>
      <c r="B101" s="1" t="s">
        <v>303</v>
      </c>
      <c r="C101" s="1" t="s">
        <v>94</v>
      </c>
      <c r="D101" s="1" t="s">
        <v>31</v>
      </c>
      <c r="E101" s="2">
        <v>46245</v>
      </c>
      <c r="F101" s="2">
        <v>46245</v>
      </c>
      <c r="G101" s="1" t="s">
        <v>37</v>
      </c>
      <c r="H101" s="1">
        <v>38</v>
      </c>
      <c r="I101" s="1">
        <v>50</v>
      </c>
      <c r="J101" s="1">
        <v>580</v>
      </c>
      <c r="K101" s="1" t="s">
        <v>17</v>
      </c>
      <c r="L101" s="4">
        <v>4</v>
      </c>
    </row>
    <row r="102" spans="1:12" x14ac:dyDescent="0.3">
      <c r="A102" s="3" t="s">
        <v>304</v>
      </c>
      <c r="B102" s="1" t="s">
        <v>305</v>
      </c>
      <c r="C102" s="1" t="s">
        <v>14</v>
      </c>
      <c r="D102" s="1" t="s">
        <v>36</v>
      </c>
      <c r="E102" s="2">
        <v>46276</v>
      </c>
      <c r="F102" s="2">
        <v>46276</v>
      </c>
      <c r="G102" s="1" t="s">
        <v>42</v>
      </c>
      <c r="H102" s="1">
        <v>33</v>
      </c>
      <c r="I102" s="1">
        <v>40</v>
      </c>
      <c r="J102" s="1">
        <v>500</v>
      </c>
      <c r="K102" s="1" t="s">
        <v>17</v>
      </c>
      <c r="L102" s="4">
        <v>4.5</v>
      </c>
    </row>
    <row r="103" spans="1:12" x14ac:dyDescent="0.3">
      <c r="A103" s="3" t="s">
        <v>306</v>
      </c>
      <c r="B103" s="1" t="s">
        <v>307</v>
      </c>
      <c r="C103" s="1" t="s">
        <v>20</v>
      </c>
      <c r="D103" s="1" t="s">
        <v>41</v>
      </c>
      <c r="E103" s="2">
        <v>46306</v>
      </c>
      <c r="F103" s="2">
        <v>46306</v>
      </c>
      <c r="G103" s="1" t="s">
        <v>46</v>
      </c>
      <c r="H103" s="1">
        <v>26</v>
      </c>
      <c r="I103" s="1">
        <v>30</v>
      </c>
      <c r="J103" s="1">
        <v>670</v>
      </c>
      <c r="K103" s="1" t="s">
        <v>17</v>
      </c>
      <c r="L103" s="4">
        <v>5</v>
      </c>
    </row>
    <row r="104" spans="1:12" x14ac:dyDescent="0.3">
      <c r="A104" s="3" t="s">
        <v>308</v>
      </c>
      <c r="B104" s="1" t="s">
        <v>309</v>
      </c>
      <c r="C104" s="1" t="s">
        <v>25</v>
      </c>
      <c r="D104" s="1" t="s">
        <v>15</v>
      </c>
      <c r="E104" s="2">
        <v>46337</v>
      </c>
      <c r="F104" s="2">
        <v>46337</v>
      </c>
      <c r="G104" s="1" t="s">
        <v>16</v>
      </c>
      <c r="H104" s="1">
        <v>39</v>
      </c>
      <c r="I104" s="1">
        <v>50</v>
      </c>
      <c r="J104" s="1">
        <v>840</v>
      </c>
      <c r="K104" s="1" t="s">
        <v>17</v>
      </c>
      <c r="L104" s="4">
        <v>4</v>
      </c>
    </row>
    <row r="105" spans="1:12" x14ac:dyDescent="0.3">
      <c r="A105" s="3" t="s">
        <v>310</v>
      </c>
      <c r="B105" s="1" t="s">
        <v>311</v>
      </c>
      <c r="C105" s="1" t="s">
        <v>30</v>
      </c>
      <c r="D105" s="1" t="s">
        <v>21</v>
      </c>
      <c r="E105" s="2">
        <v>46367</v>
      </c>
      <c r="F105" s="2">
        <v>46367</v>
      </c>
      <c r="G105" s="1"/>
      <c r="H105" s="1">
        <v>28</v>
      </c>
      <c r="I105" s="1">
        <v>35</v>
      </c>
      <c r="J105" s="1">
        <v>410</v>
      </c>
      <c r="K105" s="1" t="s">
        <v>17</v>
      </c>
      <c r="L105" s="4">
        <v>4.5</v>
      </c>
    </row>
    <row r="106" spans="1:12" x14ac:dyDescent="0.3">
      <c r="A106" s="3" t="s">
        <v>312</v>
      </c>
      <c r="B106" s="1" t="s">
        <v>313</v>
      </c>
      <c r="C106" s="1" t="s">
        <v>35</v>
      </c>
      <c r="D106" s="1" t="s">
        <v>26</v>
      </c>
      <c r="E106" s="1" t="s">
        <v>314</v>
      </c>
      <c r="F106" s="1" t="s">
        <v>314</v>
      </c>
      <c r="G106" s="1" t="s">
        <v>22</v>
      </c>
      <c r="H106" s="1">
        <v>35</v>
      </c>
      <c r="I106" s="1">
        <v>45</v>
      </c>
      <c r="J106" s="1">
        <v>930</v>
      </c>
      <c r="K106" s="1" t="s">
        <v>17</v>
      </c>
      <c r="L106" s="4">
        <v>4</v>
      </c>
    </row>
    <row r="107" spans="1:12" x14ac:dyDescent="0.3">
      <c r="A107" s="3" t="s">
        <v>315</v>
      </c>
      <c r="B107" s="1" t="s">
        <v>316</v>
      </c>
      <c r="C107" s="1" t="s">
        <v>40</v>
      </c>
      <c r="D107" s="1" t="s">
        <v>31</v>
      </c>
      <c r="E107" s="1" t="s">
        <v>317</v>
      </c>
      <c r="F107" s="1" t="s">
        <v>317</v>
      </c>
      <c r="G107" s="1" t="s">
        <v>27</v>
      </c>
      <c r="H107" s="1">
        <v>44</v>
      </c>
      <c r="I107" s="1">
        <v>60</v>
      </c>
      <c r="J107" s="1">
        <v>700</v>
      </c>
      <c r="K107" s="1" t="s">
        <v>75</v>
      </c>
      <c r="L107" s="4">
        <v>3</v>
      </c>
    </row>
    <row r="108" spans="1:12" x14ac:dyDescent="0.3">
      <c r="A108" s="3" t="s">
        <v>318</v>
      </c>
      <c r="B108" s="1" t="s">
        <v>319</v>
      </c>
      <c r="C108" s="1" t="s">
        <v>45</v>
      </c>
      <c r="D108" s="1" t="s">
        <v>36</v>
      </c>
      <c r="E108" s="1" t="s">
        <v>320</v>
      </c>
      <c r="F108" s="1" t="s">
        <v>320</v>
      </c>
      <c r="G108" s="1" t="s">
        <v>32</v>
      </c>
      <c r="H108" s="1">
        <v>30</v>
      </c>
      <c r="I108" s="1">
        <v>35</v>
      </c>
      <c r="J108" s="1">
        <v>550</v>
      </c>
      <c r="K108" s="1" t="s">
        <v>17</v>
      </c>
      <c r="L108" s="4">
        <v>4.5</v>
      </c>
    </row>
    <row r="109" spans="1:12" x14ac:dyDescent="0.3">
      <c r="A109" s="3" t="s">
        <v>321</v>
      </c>
      <c r="B109" s="1" t="s">
        <v>322</v>
      </c>
      <c r="C109" s="1" t="s">
        <v>49</v>
      </c>
      <c r="D109" s="1" t="s">
        <v>41</v>
      </c>
      <c r="E109" s="1" t="s">
        <v>323</v>
      </c>
      <c r="F109" s="1" t="s">
        <v>323</v>
      </c>
      <c r="G109" s="1" t="s">
        <v>37</v>
      </c>
      <c r="H109" s="1">
        <v>32</v>
      </c>
      <c r="I109" s="1">
        <v>40</v>
      </c>
      <c r="J109" s="1">
        <v>470</v>
      </c>
      <c r="K109" s="1" t="s">
        <v>17</v>
      </c>
      <c r="L109" s="4">
        <v>4</v>
      </c>
    </row>
    <row r="110" spans="1:12" x14ac:dyDescent="0.3">
      <c r="A110" s="3" t="s">
        <v>324</v>
      </c>
      <c r="B110" s="1" t="s">
        <v>325</v>
      </c>
      <c r="C110" s="1" t="s">
        <v>52</v>
      </c>
      <c r="D110" s="1" t="s">
        <v>15</v>
      </c>
      <c r="E110" s="1" t="s">
        <v>326</v>
      </c>
      <c r="F110" s="1" t="s">
        <v>326</v>
      </c>
      <c r="G110" s="1" t="s">
        <v>42</v>
      </c>
      <c r="H110" s="1">
        <v>27</v>
      </c>
      <c r="I110" s="1">
        <v>30</v>
      </c>
      <c r="J110" s="1">
        <v>760</v>
      </c>
      <c r="K110" s="1" t="s">
        <v>17</v>
      </c>
      <c r="L110" s="4">
        <v>5</v>
      </c>
    </row>
    <row r="111" spans="1:12" x14ac:dyDescent="0.3">
      <c r="A111" s="3" t="s">
        <v>327</v>
      </c>
      <c r="B111" s="1" t="s">
        <v>328</v>
      </c>
      <c r="C111" s="1" t="s">
        <v>55</v>
      </c>
      <c r="D111" s="1" t="s">
        <v>21</v>
      </c>
      <c r="E111" s="1" t="s">
        <v>329</v>
      </c>
      <c r="F111" s="1" t="s">
        <v>329</v>
      </c>
      <c r="G111" s="1" t="s">
        <v>46</v>
      </c>
      <c r="H111" s="1">
        <v>41</v>
      </c>
      <c r="I111" s="1">
        <v>55</v>
      </c>
      <c r="J111" s="1">
        <v>610</v>
      </c>
      <c r="K111" s="1" t="s">
        <v>17</v>
      </c>
      <c r="L111" s="4">
        <v>3.5</v>
      </c>
    </row>
    <row r="112" spans="1:12" x14ac:dyDescent="0.3">
      <c r="A112" s="3" t="s">
        <v>330</v>
      </c>
      <c r="B112" s="1" t="s">
        <v>331</v>
      </c>
      <c r="C112" s="1" t="s">
        <v>59</v>
      </c>
      <c r="D112" s="1" t="s">
        <v>26</v>
      </c>
      <c r="E112" s="1" t="s">
        <v>332</v>
      </c>
      <c r="F112" s="1" t="s">
        <v>332</v>
      </c>
      <c r="G112" s="1" t="s">
        <v>16</v>
      </c>
      <c r="H112" s="1">
        <v>34</v>
      </c>
      <c r="I112" s="1">
        <v>40</v>
      </c>
      <c r="J112" s="1">
        <v>1000</v>
      </c>
      <c r="K112" s="1" t="s">
        <v>17</v>
      </c>
      <c r="L112" s="4">
        <v>4.5</v>
      </c>
    </row>
    <row r="113" spans="1:12" x14ac:dyDescent="0.3">
      <c r="A113" s="3" t="s">
        <v>333</v>
      </c>
      <c r="B113" s="1" t="s">
        <v>334</v>
      </c>
      <c r="C113" s="1" t="s">
        <v>62</v>
      </c>
      <c r="D113" s="1" t="s">
        <v>31</v>
      </c>
      <c r="E113" s="1" t="s">
        <v>335</v>
      </c>
      <c r="F113" s="1" t="s">
        <v>335</v>
      </c>
      <c r="G113" s="1" t="s">
        <v>22</v>
      </c>
      <c r="H113" s="1">
        <v>29</v>
      </c>
      <c r="I113" s="1">
        <v>35</v>
      </c>
      <c r="J113" s="1">
        <v>440</v>
      </c>
      <c r="K113" s="1" t="s">
        <v>17</v>
      </c>
      <c r="L113" s="4">
        <v>4</v>
      </c>
    </row>
    <row r="114" spans="1:12" x14ac:dyDescent="0.3">
      <c r="A114" s="3" t="s">
        <v>336</v>
      </c>
      <c r="B114" s="1" t="s">
        <v>337</v>
      </c>
      <c r="C114" s="1" t="s">
        <v>65</v>
      </c>
      <c r="D114" s="1" t="s">
        <v>36</v>
      </c>
      <c r="E114" s="1" t="s">
        <v>338</v>
      </c>
      <c r="F114" s="1" t="s">
        <v>338</v>
      </c>
      <c r="G114" s="1" t="s">
        <v>27</v>
      </c>
      <c r="H114" s="1">
        <v>36</v>
      </c>
      <c r="I114" s="1">
        <v>45</v>
      </c>
      <c r="J114" s="1">
        <v>810</v>
      </c>
      <c r="K114" s="1" t="s">
        <v>17</v>
      </c>
      <c r="L114" s="4">
        <v>5</v>
      </c>
    </row>
    <row r="115" spans="1:12" x14ac:dyDescent="0.3">
      <c r="A115" s="3" t="s">
        <v>339</v>
      </c>
      <c r="B115" s="1" t="s">
        <v>340</v>
      </c>
      <c r="C115" s="1" t="s">
        <v>69</v>
      </c>
      <c r="D115" s="1" t="s">
        <v>41</v>
      </c>
      <c r="E115" s="1" t="s">
        <v>341</v>
      </c>
      <c r="F115" s="1" t="s">
        <v>341</v>
      </c>
      <c r="G115" s="1" t="s">
        <v>32</v>
      </c>
      <c r="H115" s="1">
        <v>43</v>
      </c>
      <c r="I115" s="1">
        <v>60</v>
      </c>
      <c r="J115" s="1">
        <v>530</v>
      </c>
      <c r="K115" s="1" t="s">
        <v>75</v>
      </c>
      <c r="L115" s="4">
        <v>3</v>
      </c>
    </row>
    <row r="116" spans="1:12" x14ac:dyDescent="0.3">
      <c r="A116" s="3" t="s">
        <v>342</v>
      </c>
      <c r="B116" s="1" t="s">
        <v>343</v>
      </c>
      <c r="C116" s="1" t="s">
        <v>73</v>
      </c>
      <c r="D116" s="1" t="s">
        <v>15</v>
      </c>
      <c r="E116" s="1" t="s">
        <v>344</v>
      </c>
      <c r="F116" s="1" t="s">
        <v>344</v>
      </c>
      <c r="G116" s="1" t="s">
        <v>37</v>
      </c>
      <c r="H116" s="1">
        <v>31</v>
      </c>
      <c r="I116" s="1">
        <v>40</v>
      </c>
      <c r="J116" s="1">
        <v>900</v>
      </c>
      <c r="K116" s="1" t="s">
        <v>17</v>
      </c>
      <c r="L116" s="4">
        <v>4.5</v>
      </c>
    </row>
    <row r="117" spans="1:12" x14ac:dyDescent="0.3">
      <c r="A117" s="3" t="s">
        <v>345</v>
      </c>
      <c r="B117" s="1" t="s">
        <v>346</v>
      </c>
      <c r="C117" s="1" t="s">
        <v>78</v>
      </c>
      <c r="D117" s="1" t="s">
        <v>21</v>
      </c>
      <c r="E117" s="1" t="s">
        <v>347</v>
      </c>
      <c r="F117" s="1" t="s">
        <v>347</v>
      </c>
      <c r="G117" s="1"/>
      <c r="H117" s="1">
        <v>25</v>
      </c>
      <c r="I117" s="1">
        <v>30</v>
      </c>
      <c r="J117" s="1">
        <v>640</v>
      </c>
      <c r="K117" s="1" t="s">
        <v>17</v>
      </c>
      <c r="L117" s="4">
        <v>4</v>
      </c>
    </row>
    <row r="118" spans="1:12" x14ac:dyDescent="0.3">
      <c r="A118" s="3" t="s">
        <v>348</v>
      </c>
      <c r="B118" s="1" t="s">
        <v>349</v>
      </c>
      <c r="C118" s="1" t="s">
        <v>82</v>
      </c>
      <c r="D118" s="1" t="s">
        <v>26</v>
      </c>
      <c r="E118" s="1" t="s">
        <v>350</v>
      </c>
      <c r="F118" s="1" t="s">
        <v>350</v>
      </c>
      <c r="G118" s="1" t="s">
        <v>42</v>
      </c>
      <c r="H118" s="1">
        <v>33</v>
      </c>
      <c r="I118" s="1">
        <v>40</v>
      </c>
      <c r="J118" s="1">
        <v>370</v>
      </c>
      <c r="K118" s="1" t="s">
        <v>17</v>
      </c>
      <c r="L118" s="4">
        <v>5</v>
      </c>
    </row>
    <row r="119" spans="1:12" x14ac:dyDescent="0.3">
      <c r="A119" s="3" t="s">
        <v>351</v>
      </c>
      <c r="B119" s="1" t="s">
        <v>352</v>
      </c>
      <c r="C119" s="1" t="s">
        <v>86</v>
      </c>
      <c r="D119" s="1" t="s">
        <v>31</v>
      </c>
      <c r="E119" s="1" t="s">
        <v>353</v>
      </c>
      <c r="F119" s="1" t="s">
        <v>353</v>
      </c>
      <c r="G119" s="1" t="s">
        <v>46</v>
      </c>
      <c r="H119" s="1">
        <v>38</v>
      </c>
      <c r="I119" s="1">
        <v>50</v>
      </c>
      <c r="J119" s="1">
        <v>980</v>
      </c>
      <c r="K119" s="1" t="s">
        <v>17</v>
      </c>
      <c r="L119" s="4">
        <v>4</v>
      </c>
    </row>
    <row r="120" spans="1:12" x14ac:dyDescent="0.3">
      <c r="A120" s="3" t="s">
        <v>354</v>
      </c>
      <c r="B120" s="1" t="s">
        <v>355</v>
      </c>
      <c r="C120" s="1" t="s">
        <v>90</v>
      </c>
      <c r="D120" s="1" t="s">
        <v>36</v>
      </c>
      <c r="E120" s="1" t="s">
        <v>356</v>
      </c>
      <c r="F120" s="1" t="s">
        <v>356</v>
      </c>
      <c r="G120" s="1" t="s">
        <v>16</v>
      </c>
      <c r="H120" s="1">
        <v>28</v>
      </c>
      <c r="I120" s="1">
        <v>35</v>
      </c>
      <c r="J120" s="1">
        <v>750</v>
      </c>
      <c r="K120" s="1" t="s">
        <v>17</v>
      </c>
      <c r="L120" s="4">
        <v>4.5</v>
      </c>
    </row>
    <row r="121" spans="1:12" x14ac:dyDescent="0.3">
      <c r="A121" s="3" t="s">
        <v>357</v>
      </c>
      <c r="B121" s="1" t="s">
        <v>358</v>
      </c>
      <c r="C121" s="1" t="s">
        <v>94</v>
      </c>
      <c r="D121" s="1" t="s">
        <v>41</v>
      </c>
      <c r="E121" s="1" t="s">
        <v>359</v>
      </c>
      <c r="F121" s="1" t="s">
        <v>359</v>
      </c>
      <c r="G121" s="1" t="s">
        <v>22</v>
      </c>
      <c r="H121" s="1">
        <v>46</v>
      </c>
      <c r="I121" s="1">
        <v>65</v>
      </c>
      <c r="J121" s="1">
        <v>590</v>
      </c>
      <c r="K121" s="1" t="s">
        <v>75</v>
      </c>
      <c r="L121" s="4">
        <v>3.5</v>
      </c>
    </row>
    <row r="122" spans="1:12" x14ac:dyDescent="0.3">
      <c r="A122" s="3" t="s">
        <v>360</v>
      </c>
      <c r="B122" s="1" t="s">
        <v>13</v>
      </c>
      <c r="C122" s="1" t="s">
        <v>14</v>
      </c>
      <c r="D122" s="1" t="s">
        <v>15</v>
      </c>
      <c r="E122" s="1" t="s">
        <v>361</v>
      </c>
      <c r="F122" s="1" t="s">
        <v>361</v>
      </c>
      <c r="G122" s="1" t="s">
        <v>27</v>
      </c>
      <c r="H122" s="1">
        <v>30</v>
      </c>
      <c r="I122" s="1">
        <v>35</v>
      </c>
      <c r="J122" s="1">
        <v>520</v>
      </c>
      <c r="K122" s="1" t="s">
        <v>17</v>
      </c>
      <c r="L122" s="4">
        <v>4.5</v>
      </c>
    </row>
    <row r="123" spans="1:12" x14ac:dyDescent="0.3">
      <c r="A123" s="3" t="s">
        <v>362</v>
      </c>
      <c r="B123" s="1" t="s">
        <v>19</v>
      </c>
      <c r="C123" s="1" t="s">
        <v>20</v>
      </c>
      <c r="D123" s="1" t="s">
        <v>21</v>
      </c>
      <c r="E123" s="1" t="s">
        <v>363</v>
      </c>
      <c r="F123" s="1" t="s">
        <v>363</v>
      </c>
      <c r="G123" s="1" t="s">
        <v>32</v>
      </c>
      <c r="H123" s="1">
        <v>37</v>
      </c>
      <c r="I123" s="1">
        <v>45</v>
      </c>
      <c r="J123" s="1">
        <v>680</v>
      </c>
      <c r="K123" s="1" t="s">
        <v>17</v>
      </c>
      <c r="L123" s="4">
        <v>4</v>
      </c>
    </row>
    <row r="124" spans="1:12" x14ac:dyDescent="0.3">
      <c r="A124" s="3" t="s">
        <v>364</v>
      </c>
      <c r="B124" s="1" t="s">
        <v>24</v>
      </c>
      <c r="C124" s="1" t="s">
        <v>25</v>
      </c>
      <c r="D124" s="1" t="s">
        <v>26</v>
      </c>
      <c r="E124" s="2">
        <v>46034</v>
      </c>
      <c r="F124" s="2">
        <v>46034</v>
      </c>
      <c r="G124" s="1" t="s">
        <v>37</v>
      </c>
      <c r="H124" s="1">
        <v>42</v>
      </c>
      <c r="I124" s="1">
        <v>55</v>
      </c>
      <c r="J124" s="1">
        <v>860</v>
      </c>
      <c r="K124" s="1" t="s">
        <v>17</v>
      </c>
      <c r="L124" s="4">
        <v>4.5</v>
      </c>
    </row>
    <row r="125" spans="1:12" x14ac:dyDescent="0.3">
      <c r="A125" s="3" t="s">
        <v>365</v>
      </c>
      <c r="B125" s="1" t="s">
        <v>29</v>
      </c>
      <c r="C125" s="1" t="s">
        <v>30</v>
      </c>
      <c r="D125" s="1" t="s">
        <v>31</v>
      </c>
      <c r="E125" s="2">
        <v>46065</v>
      </c>
      <c r="F125" s="2">
        <v>46065</v>
      </c>
      <c r="G125" s="1" t="s">
        <v>42</v>
      </c>
      <c r="H125" s="1">
        <v>27</v>
      </c>
      <c r="I125" s="1">
        <v>30</v>
      </c>
      <c r="J125" s="1">
        <v>400</v>
      </c>
      <c r="K125" s="1" t="s">
        <v>17</v>
      </c>
      <c r="L125" s="4">
        <v>5</v>
      </c>
    </row>
    <row r="126" spans="1:12" x14ac:dyDescent="0.3">
      <c r="A126" s="3" t="s">
        <v>366</v>
      </c>
      <c r="B126" s="1" t="s">
        <v>34</v>
      </c>
      <c r="C126" s="1" t="s">
        <v>35</v>
      </c>
      <c r="D126" s="1" t="s">
        <v>36</v>
      </c>
      <c r="E126" s="2">
        <v>46093</v>
      </c>
      <c r="F126" s="2">
        <v>46093</v>
      </c>
      <c r="G126" s="1" t="s">
        <v>46</v>
      </c>
      <c r="H126" s="1">
        <v>35</v>
      </c>
      <c r="I126" s="1">
        <v>45</v>
      </c>
      <c r="J126" s="1">
        <v>950</v>
      </c>
      <c r="K126" s="1" t="s">
        <v>17</v>
      </c>
      <c r="L126" s="4">
        <v>4</v>
      </c>
    </row>
    <row r="127" spans="1:12" x14ac:dyDescent="0.3">
      <c r="A127" s="3" t="s">
        <v>367</v>
      </c>
      <c r="B127" s="1" t="s">
        <v>39</v>
      </c>
      <c r="C127" s="1" t="s">
        <v>40</v>
      </c>
      <c r="D127" s="1" t="s">
        <v>41</v>
      </c>
      <c r="E127" s="2">
        <v>46124</v>
      </c>
      <c r="F127" s="2">
        <v>46124</v>
      </c>
      <c r="G127" s="1" t="s">
        <v>16</v>
      </c>
      <c r="H127" s="1">
        <v>40</v>
      </c>
      <c r="I127" s="1">
        <v>50</v>
      </c>
      <c r="J127" s="1">
        <v>690</v>
      </c>
      <c r="K127" s="1" t="s">
        <v>17</v>
      </c>
      <c r="L127" s="4">
        <v>4.5</v>
      </c>
    </row>
    <row r="128" spans="1:12" x14ac:dyDescent="0.3">
      <c r="A128" s="3" t="s">
        <v>368</v>
      </c>
      <c r="B128" s="1" t="s">
        <v>44</v>
      </c>
      <c r="C128" s="1" t="s">
        <v>45</v>
      </c>
      <c r="D128" s="1" t="s">
        <v>15</v>
      </c>
      <c r="E128" s="2">
        <v>46154</v>
      </c>
      <c r="F128" s="2">
        <v>46154</v>
      </c>
      <c r="G128" s="1"/>
      <c r="H128" s="1">
        <v>26</v>
      </c>
      <c r="I128" s="1">
        <v>30</v>
      </c>
      <c r="J128" s="1">
        <v>560</v>
      </c>
      <c r="K128" s="1" t="s">
        <v>17</v>
      </c>
      <c r="L128" s="4">
        <v>4</v>
      </c>
    </row>
    <row r="129" spans="1:12" x14ac:dyDescent="0.3">
      <c r="A129" s="3" t="s">
        <v>369</v>
      </c>
      <c r="B129" s="1" t="s">
        <v>48</v>
      </c>
      <c r="C129" s="1" t="s">
        <v>49</v>
      </c>
      <c r="D129" s="1" t="s">
        <v>21</v>
      </c>
      <c r="E129" s="2">
        <v>46185</v>
      </c>
      <c r="F129" s="2">
        <v>46185</v>
      </c>
      <c r="G129" s="1" t="s">
        <v>22</v>
      </c>
      <c r="H129" s="1">
        <v>34</v>
      </c>
      <c r="I129" s="1">
        <v>40</v>
      </c>
      <c r="J129" s="1">
        <v>480</v>
      </c>
      <c r="K129" s="1" t="s">
        <v>17</v>
      </c>
      <c r="L129" s="4">
        <v>4.5</v>
      </c>
    </row>
    <row r="130" spans="1:12" x14ac:dyDescent="0.3">
      <c r="A130" s="3" t="s">
        <v>370</v>
      </c>
      <c r="B130" s="1" t="s">
        <v>51</v>
      </c>
      <c r="C130" s="1" t="s">
        <v>52</v>
      </c>
      <c r="D130" s="1" t="s">
        <v>26</v>
      </c>
      <c r="E130" s="2">
        <v>46215</v>
      </c>
      <c r="F130" s="2">
        <v>46215</v>
      </c>
      <c r="G130" s="1" t="s">
        <v>27</v>
      </c>
      <c r="H130" s="1">
        <v>29</v>
      </c>
      <c r="I130" s="1">
        <v>35</v>
      </c>
      <c r="J130" s="1">
        <v>720</v>
      </c>
      <c r="K130" s="1" t="s">
        <v>17</v>
      </c>
      <c r="L130" s="4">
        <v>5</v>
      </c>
    </row>
    <row r="131" spans="1:12" x14ac:dyDescent="0.3">
      <c r="A131" s="3" t="s">
        <v>371</v>
      </c>
      <c r="B131" s="1" t="s">
        <v>54</v>
      </c>
      <c r="C131" s="1" t="s">
        <v>55</v>
      </c>
      <c r="D131" s="1" t="s">
        <v>31</v>
      </c>
      <c r="E131" s="2">
        <v>46246</v>
      </c>
      <c r="F131" s="2">
        <v>46246</v>
      </c>
      <c r="G131" s="1" t="s">
        <v>32</v>
      </c>
      <c r="H131" s="1">
        <v>45</v>
      </c>
      <c r="I131" s="1">
        <v>60</v>
      </c>
      <c r="J131" s="1">
        <v>620</v>
      </c>
      <c r="K131" s="1" t="s">
        <v>75</v>
      </c>
      <c r="L131" s="4">
        <v>3</v>
      </c>
    </row>
    <row r="132" spans="1:12" x14ac:dyDescent="0.3">
      <c r="A132" s="3" t="s">
        <v>372</v>
      </c>
      <c r="B132" s="1" t="s">
        <v>58</v>
      </c>
      <c r="C132" s="1" t="s">
        <v>59</v>
      </c>
      <c r="D132" s="1" t="s">
        <v>36</v>
      </c>
      <c r="E132" s="2">
        <v>46277</v>
      </c>
      <c r="F132" s="2">
        <v>46277</v>
      </c>
      <c r="G132" s="1" t="s">
        <v>37</v>
      </c>
      <c r="H132" s="1">
        <v>31</v>
      </c>
      <c r="I132" s="1">
        <v>40</v>
      </c>
      <c r="J132" s="1">
        <v>1010</v>
      </c>
      <c r="K132" s="1" t="s">
        <v>17</v>
      </c>
      <c r="L132" s="4">
        <v>4.5</v>
      </c>
    </row>
    <row r="133" spans="1:12" x14ac:dyDescent="0.3">
      <c r="A133" s="3" t="s">
        <v>373</v>
      </c>
      <c r="B133" s="1" t="s">
        <v>61</v>
      </c>
      <c r="C133" s="1" t="s">
        <v>62</v>
      </c>
      <c r="D133" s="1" t="s">
        <v>41</v>
      </c>
      <c r="E133" s="2">
        <v>46307</v>
      </c>
      <c r="F133" s="2">
        <v>46307</v>
      </c>
      <c r="G133" s="1" t="s">
        <v>42</v>
      </c>
      <c r="H133" s="1">
        <v>28</v>
      </c>
      <c r="I133" s="1">
        <v>35</v>
      </c>
      <c r="J133" s="1">
        <v>450</v>
      </c>
      <c r="K133" s="1" t="s">
        <v>17</v>
      </c>
      <c r="L133" s="4">
        <v>4</v>
      </c>
    </row>
    <row r="134" spans="1:12" x14ac:dyDescent="0.3">
      <c r="A134" s="3" t="s">
        <v>374</v>
      </c>
      <c r="B134" s="1" t="s">
        <v>64</v>
      </c>
      <c r="C134" s="1" t="s">
        <v>65</v>
      </c>
      <c r="D134" s="1" t="s">
        <v>15</v>
      </c>
      <c r="E134" s="2">
        <v>46338</v>
      </c>
      <c r="F134" s="2">
        <v>46338</v>
      </c>
      <c r="G134" s="1" t="s">
        <v>46</v>
      </c>
      <c r="H134" s="1">
        <v>36</v>
      </c>
      <c r="I134" s="1">
        <v>45</v>
      </c>
      <c r="J134" s="1">
        <v>800</v>
      </c>
      <c r="K134" s="1" t="s">
        <v>17</v>
      </c>
      <c r="L134" s="4">
        <v>5</v>
      </c>
    </row>
    <row r="135" spans="1:12" x14ac:dyDescent="0.3">
      <c r="A135" s="3" t="s">
        <v>375</v>
      </c>
      <c r="B135" s="1" t="s">
        <v>68</v>
      </c>
      <c r="C135" s="1" t="s">
        <v>69</v>
      </c>
      <c r="D135" s="1" t="s">
        <v>21</v>
      </c>
      <c r="E135" s="2">
        <v>46368</v>
      </c>
      <c r="F135" s="2">
        <v>46368</v>
      </c>
      <c r="G135" s="1" t="s">
        <v>16</v>
      </c>
      <c r="H135" s="1">
        <v>39</v>
      </c>
      <c r="I135" s="1">
        <v>50</v>
      </c>
      <c r="J135" s="1">
        <v>540</v>
      </c>
      <c r="K135" s="1" t="s">
        <v>17</v>
      </c>
      <c r="L135" s="4">
        <v>4</v>
      </c>
    </row>
    <row r="136" spans="1:12" x14ac:dyDescent="0.3">
      <c r="A136" s="3" t="s">
        <v>376</v>
      </c>
      <c r="B136" s="1" t="s">
        <v>72</v>
      </c>
      <c r="C136" s="1" t="s">
        <v>73</v>
      </c>
      <c r="D136" s="1" t="s">
        <v>26</v>
      </c>
      <c r="E136" s="1" t="s">
        <v>377</v>
      </c>
      <c r="F136" s="1" t="s">
        <v>377</v>
      </c>
      <c r="G136" s="1" t="s">
        <v>22</v>
      </c>
      <c r="H136" s="1">
        <v>30</v>
      </c>
      <c r="I136" s="1">
        <v>35</v>
      </c>
      <c r="J136" s="1">
        <v>910</v>
      </c>
      <c r="K136" s="1" t="s">
        <v>17</v>
      </c>
      <c r="L136" s="4">
        <v>4.5</v>
      </c>
    </row>
    <row r="137" spans="1:12" x14ac:dyDescent="0.3">
      <c r="A137" s="3" t="s">
        <v>378</v>
      </c>
      <c r="B137" s="1" t="s">
        <v>77</v>
      </c>
      <c r="C137" s="1" t="s">
        <v>78</v>
      </c>
      <c r="D137" s="1" t="s">
        <v>31</v>
      </c>
      <c r="E137" s="1" t="s">
        <v>379</v>
      </c>
      <c r="F137" s="1" t="s">
        <v>379</v>
      </c>
      <c r="G137" s="1" t="s">
        <v>27</v>
      </c>
      <c r="H137" s="1">
        <v>32</v>
      </c>
      <c r="I137" s="1">
        <v>40</v>
      </c>
      <c r="J137" s="1">
        <v>670</v>
      </c>
      <c r="K137" s="1" t="s">
        <v>17</v>
      </c>
      <c r="L137" s="4">
        <v>4</v>
      </c>
    </row>
    <row r="138" spans="1:12" x14ac:dyDescent="0.3">
      <c r="A138" s="3" t="s">
        <v>380</v>
      </c>
      <c r="B138" s="1" t="s">
        <v>81</v>
      </c>
      <c r="C138" s="1" t="s">
        <v>82</v>
      </c>
      <c r="D138" s="1" t="s">
        <v>36</v>
      </c>
      <c r="E138" s="1" t="s">
        <v>381</v>
      </c>
      <c r="F138" s="1" t="s">
        <v>381</v>
      </c>
      <c r="G138" s="1"/>
      <c r="H138" s="1">
        <v>25</v>
      </c>
      <c r="I138" s="1">
        <v>30</v>
      </c>
      <c r="J138" s="1">
        <v>380</v>
      </c>
      <c r="K138" s="1" t="s">
        <v>17</v>
      </c>
      <c r="L138" s="4">
        <v>5</v>
      </c>
    </row>
    <row r="139" spans="1:12" x14ac:dyDescent="0.3">
      <c r="A139" s="3" t="s">
        <v>382</v>
      </c>
      <c r="B139" s="1" t="s">
        <v>85</v>
      </c>
      <c r="C139" s="1" t="s">
        <v>86</v>
      </c>
      <c r="D139" s="1" t="s">
        <v>41</v>
      </c>
      <c r="E139" s="1" t="s">
        <v>383</v>
      </c>
      <c r="F139" s="1" t="s">
        <v>383</v>
      </c>
      <c r="G139" s="1" t="s">
        <v>32</v>
      </c>
      <c r="H139" s="1">
        <v>41</v>
      </c>
      <c r="I139" s="1">
        <v>55</v>
      </c>
      <c r="J139" s="1">
        <v>990</v>
      </c>
      <c r="K139" s="1" t="s">
        <v>75</v>
      </c>
      <c r="L139" s="4">
        <v>3.5</v>
      </c>
    </row>
    <row r="140" spans="1:12" x14ac:dyDescent="0.3">
      <c r="A140" s="3" t="s">
        <v>384</v>
      </c>
      <c r="B140" s="1" t="s">
        <v>89</v>
      </c>
      <c r="C140" s="1" t="s">
        <v>90</v>
      </c>
      <c r="D140" s="1" t="s">
        <v>15</v>
      </c>
      <c r="E140" s="1" t="s">
        <v>385</v>
      </c>
      <c r="F140" s="1" t="s">
        <v>385</v>
      </c>
      <c r="G140" s="1" t="s">
        <v>37</v>
      </c>
      <c r="H140" s="1">
        <v>28</v>
      </c>
      <c r="I140" s="1">
        <v>35</v>
      </c>
      <c r="J140" s="1">
        <v>770</v>
      </c>
      <c r="K140" s="1" t="s">
        <v>17</v>
      </c>
      <c r="L140" s="4">
        <v>4.5</v>
      </c>
    </row>
    <row r="141" spans="1:12" x14ac:dyDescent="0.3">
      <c r="A141" s="3" t="s">
        <v>386</v>
      </c>
      <c r="B141" s="1" t="s">
        <v>93</v>
      </c>
      <c r="C141" s="1" t="s">
        <v>94</v>
      </c>
      <c r="D141" s="1" t="s">
        <v>21</v>
      </c>
      <c r="E141" s="1" t="s">
        <v>387</v>
      </c>
      <c r="F141" s="1" t="s">
        <v>387</v>
      </c>
      <c r="G141" s="1" t="s">
        <v>42</v>
      </c>
      <c r="H141" s="1">
        <v>37</v>
      </c>
      <c r="I141" s="1">
        <v>50</v>
      </c>
      <c r="J141" s="1">
        <v>600</v>
      </c>
      <c r="K141" s="1" t="s">
        <v>17</v>
      </c>
      <c r="L141" s="4">
        <v>4</v>
      </c>
    </row>
    <row r="142" spans="1:12" x14ac:dyDescent="0.3">
      <c r="A142" s="3" t="s">
        <v>388</v>
      </c>
      <c r="B142" s="1" t="s">
        <v>97</v>
      </c>
      <c r="C142" s="1" t="s">
        <v>14</v>
      </c>
      <c r="D142" s="1" t="s">
        <v>26</v>
      </c>
      <c r="E142" s="1" t="s">
        <v>389</v>
      </c>
      <c r="F142" s="1" t="s">
        <v>389</v>
      </c>
      <c r="G142" s="1" t="s">
        <v>46</v>
      </c>
      <c r="H142" s="1">
        <v>31</v>
      </c>
      <c r="I142" s="1">
        <v>40</v>
      </c>
      <c r="J142" s="1">
        <v>530</v>
      </c>
      <c r="K142" s="1" t="s">
        <v>17</v>
      </c>
      <c r="L142" s="4">
        <v>4.5</v>
      </c>
    </row>
    <row r="143" spans="1:12" x14ac:dyDescent="0.3">
      <c r="A143" s="3" t="s">
        <v>390</v>
      </c>
      <c r="B143" s="1" t="s">
        <v>100</v>
      </c>
      <c r="C143" s="1" t="s">
        <v>20</v>
      </c>
      <c r="D143" s="1" t="s">
        <v>31</v>
      </c>
      <c r="E143" s="1" t="s">
        <v>391</v>
      </c>
      <c r="F143" s="1" t="s">
        <v>391</v>
      </c>
      <c r="G143" s="1" t="s">
        <v>16</v>
      </c>
      <c r="H143" s="1">
        <v>35</v>
      </c>
      <c r="I143" s="1">
        <v>45</v>
      </c>
      <c r="J143" s="1">
        <v>700</v>
      </c>
      <c r="K143" s="1" t="s">
        <v>17</v>
      </c>
      <c r="L143" s="4">
        <v>4</v>
      </c>
    </row>
    <row r="144" spans="1:12" x14ac:dyDescent="0.3">
      <c r="A144" s="3" t="s">
        <v>392</v>
      </c>
      <c r="B144" s="1" t="s">
        <v>103</v>
      </c>
      <c r="C144" s="1" t="s">
        <v>25</v>
      </c>
      <c r="D144" s="1" t="s">
        <v>36</v>
      </c>
      <c r="E144" s="1" t="s">
        <v>393</v>
      </c>
      <c r="F144" s="1" t="s">
        <v>393</v>
      </c>
      <c r="G144" s="1" t="s">
        <v>22</v>
      </c>
      <c r="H144" s="1">
        <v>44</v>
      </c>
      <c r="I144" s="1">
        <v>60</v>
      </c>
      <c r="J144" s="1">
        <v>880</v>
      </c>
      <c r="K144" s="1" t="s">
        <v>75</v>
      </c>
      <c r="L144" s="4">
        <v>3</v>
      </c>
    </row>
    <row r="145" spans="1:12" x14ac:dyDescent="0.3">
      <c r="A145" s="3" t="s">
        <v>394</v>
      </c>
      <c r="B145" s="1" t="s">
        <v>106</v>
      </c>
      <c r="C145" s="1" t="s">
        <v>30</v>
      </c>
      <c r="D145" s="1" t="s">
        <v>41</v>
      </c>
      <c r="E145" s="1" t="s">
        <v>395</v>
      </c>
      <c r="F145" s="1" t="s">
        <v>395</v>
      </c>
      <c r="G145" s="1" t="s">
        <v>27</v>
      </c>
      <c r="H145" s="1">
        <v>26</v>
      </c>
      <c r="I145" s="1">
        <v>30</v>
      </c>
      <c r="J145" s="1">
        <v>420</v>
      </c>
      <c r="K145" s="1" t="s">
        <v>17</v>
      </c>
      <c r="L145" s="4">
        <v>5</v>
      </c>
    </row>
    <row r="146" spans="1:12" x14ac:dyDescent="0.3">
      <c r="A146" s="3" t="s">
        <v>396</v>
      </c>
      <c r="B146" s="1" t="s">
        <v>109</v>
      </c>
      <c r="C146" s="1" t="s">
        <v>35</v>
      </c>
      <c r="D146" s="1" t="s">
        <v>15</v>
      </c>
      <c r="E146" s="1" t="s">
        <v>397</v>
      </c>
      <c r="F146" s="1" t="s">
        <v>397</v>
      </c>
      <c r="G146" s="1" t="s">
        <v>32</v>
      </c>
      <c r="H146" s="1">
        <v>33</v>
      </c>
      <c r="I146" s="1">
        <v>40</v>
      </c>
      <c r="J146" s="1">
        <v>970</v>
      </c>
      <c r="K146" s="1" t="s">
        <v>17</v>
      </c>
      <c r="L146" s="4">
        <v>4.5</v>
      </c>
    </row>
    <row r="147" spans="1:12" x14ac:dyDescent="0.3">
      <c r="A147" s="3" t="s">
        <v>398</v>
      </c>
      <c r="B147" s="1" t="s">
        <v>112</v>
      </c>
      <c r="C147" s="1" t="s">
        <v>40</v>
      </c>
      <c r="D147" s="1" t="s">
        <v>21</v>
      </c>
      <c r="E147" s="1" t="s">
        <v>399</v>
      </c>
      <c r="F147" s="1" t="s">
        <v>399</v>
      </c>
      <c r="G147" s="1" t="s">
        <v>37</v>
      </c>
      <c r="H147" s="1">
        <v>39</v>
      </c>
      <c r="I147" s="1">
        <v>50</v>
      </c>
      <c r="J147" s="1">
        <v>710</v>
      </c>
      <c r="K147" s="1" t="s">
        <v>17</v>
      </c>
      <c r="L147" s="4">
        <v>4</v>
      </c>
    </row>
    <row r="148" spans="1:12" x14ac:dyDescent="0.3">
      <c r="A148" s="3" t="s">
        <v>400</v>
      </c>
      <c r="B148" s="1" t="s">
        <v>115</v>
      </c>
      <c r="C148" s="1" t="s">
        <v>45</v>
      </c>
      <c r="D148" s="1" t="s">
        <v>26</v>
      </c>
      <c r="E148" s="1" t="s">
        <v>401</v>
      </c>
      <c r="F148" s="1" t="s">
        <v>401</v>
      </c>
      <c r="G148" s="1" t="s">
        <v>42</v>
      </c>
      <c r="H148" s="1">
        <v>27</v>
      </c>
      <c r="I148" s="1">
        <v>30</v>
      </c>
      <c r="J148" s="1">
        <v>570</v>
      </c>
      <c r="K148" s="1" t="s">
        <v>17</v>
      </c>
      <c r="L148" s="4">
        <v>4.5</v>
      </c>
    </row>
    <row r="149" spans="1:12" x14ac:dyDescent="0.3">
      <c r="A149" s="3" t="s">
        <v>402</v>
      </c>
      <c r="B149" s="1" t="s">
        <v>118</v>
      </c>
      <c r="C149" s="1" t="s">
        <v>49</v>
      </c>
      <c r="D149" s="1" t="s">
        <v>31</v>
      </c>
      <c r="E149" s="1" t="s">
        <v>403</v>
      </c>
      <c r="F149" s="1" t="s">
        <v>403</v>
      </c>
      <c r="G149" s="1" t="s">
        <v>46</v>
      </c>
      <c r="H149" s="1">
        <v>36</v>
      </c>
      <c r="I149" s="1">
        <v>45</v>
      </c>
      <c r="J149" s="1">
        <v>490</v>
      </c>
      <c r="K149" s="1" t="s">
        <v>17</v>
      </c>
      <c r="L149" s="4">
        <v>4</v>
      </c>
    </row>
    <row r="150" spans="1:12" x14ac:dyDescent="0.3">
      <c r="A150" s="3" t="s">
        <v>404</v>
      </c>
      <c r="B150" s="1" t="s">
        <v>121</v>
      </c>
      <c r="C150" s="1" t="s">
        <v>52</v>
      </c>
      <c r="D150" s="1" t="s">
        <v>36</v>
      </c>
      <c r="E150" s="1" t="s">
        <v>405</v>
      </c>
      <c r="F150" s="1" t="s">
        <v>405</v>
      </c>
      <c r="G150" s="1" t="s">
        <v>16</v>
      </c>
      <c r="H150" s="1">
        <v>30</v>
      </c>
      <c r="I150" s="1">
        <v>35</v>
      </c>
      <c r="J150" s="1">
        <v>740</v>
      </c>
      <c r="K150" s="1" t="s">
        <v>17</v>
      </c>
      <c r="L150" s="4">
        <v>5</v>
      </c>
    </row>
    <row r="151" spans="1:12" x14ac:dyDescent="0.3">
      <c r="A151" s="3" t="s">
        <v>406</v>
      </c>
      <c r="B151" s="1" t="s">
        <v>124</v>
      </c>
      <c r="C151" s="1" t="s">
        <v>55</v>
      </c>
      <c r="D151" s="1" t="s">
        <v>41</v>
      </c>
      <c r="E151" s="1" t="s">
        <v>407</v>
      </c>
      <c r="F151" s="1" t="s">
        <v>407</v>
      </c>
      <c r="G151" s="1"/>
      <c r="H151" s="1">
        <v>43</v>
      </c>
      <c r="I151" s="1">
        <v>60</v>
      </c>
      <c r="J151" s="1">
        <v>630</v>
      </c>
      <c r="K151" s="1" t="s">
        <v>75</v>
      </c>
      <c r="L151" s="4">
        <v>3</v>
      </c>
    </row>
    <row r="152" spans="1:12" x14ac:dyDescent="0.3">
      <c r="A152" s="3" t="s">
        <v>408</v>
      </c>
      <c r="B152" s="1" t="s">
        <v>127</v>
      </c>
      <c r="C152" s="1" t="s">
        <v>59</v>
      </c>
      <c r="D152" s="1" t="s">
        <v>15</v>
      </c>
      <c r="E152" s="1" t="s">
        <v>409</v>
      </c>
      <c r="F152" s="1" t="s">
        <v>409</v>
      </c>
      <c r="G152" s="1" t="s">
        <v>22</v>
      </c>
      <c r="H152" s="1">
        <v>29</v>
      </c>
      <c r="I152" s="1">
        <v>35</v>
      </c>
      <c r="J152" s="1">
        <v>1020</v>
      </c>
      <c r="K152" s="1" t="s">
        <v>17</v>
      </c>
      <c r="L152" s="4">
        <v>4.5</v>
      </c>
    </row>
    <row r="153" spans="1:12" x14ac:dyDescent="0.3">
      <c r="A153" s="3" t="s">
        <v>410</v>
      </c>
      <c r="B153" s="1" t="s">
        <v>130</v>
      </c>
      <c r="C153" s="1" t="s">
        <v>62</v>
      </c>
      <c r="D153" s="1" t="s">
        <v>21</v>
      </c>
      <c r="E153" s="1" t="s">
        <v>411</v>
      </c>
      <c r="F153" s="1" t="s">
        <v>411</v>
      </c>
      <c r="G153" s="1" t="s">
        <v>27</v>
      </c>
      <c r="H153" s="1">
        <v>34</v>
      </c>
      <c r="I153" s="1">
        <v>40</v>
      </c>
      <c r="J153" s="1">
        <v>460</v>
      </c>
      <c r="K153" s="1" t="s">
        <v>17</v>
      </c>
      <c r="L153" s="4">
        <v>4</v>
      </c>
    </row>
    <row r="154" spans="1:12" x14ac:dyDescent="0.3">
      <c r="A154" s="3" t="s">
        <v>412</v>
      </c>
      <c r="B154" s="1" t="s">
        <v>132</v>
      </c>
      <c r="C154" s="1" t="s">
        <v>65</v>
      </c>
      <c r="D154" s="1" t="s">
        <v>26</v>
      </c>
      <c r="E154" s="1" t="s">
        <v>413</v>
      </c>
      <c r="F154" s="1" t="s">
        <v>413</v>
      </c>
      <c r="G154" s="1" t="s">
        <v>32</v>
      </c>
      <c r="H154" s="1">
        <v>32</v>
      </c>
      <c r="I154" s="1">
        <v>45</v>
      </c>
      <c r="J154" s="1">
        <v>820</v>
      </c>
      <c r="K154" s="1" t="s">
        <v>17</v>
      </c>
      <c r="L154" s="4">
        <v>5</v>
      </c>
    </row>
    <row r="155" spans="1:12" x14ac:dyDescent="0.3">
      <c r="A155" s="3" t="s">
        <v>414</v>
      </c>
      <c r="B155" s="1" t="s">
        <v>134</v>
      </c>
      <c r="C155" s="1" t="s">
        <v>69</v>
      </c>
      <c r="D155" s="1" t="s">
        <v>31</v>
      </c>
      <c r="E155" s="2">
        <v>46023</v>
      </c>
      <c r="F155" s="2">
        <v>46023</v>
      </c>
      <c r="G155" s="1" t="s">
        <v>37</v>
      </c>
      <c r="H155" s="1">
        <v>40</v>
      </c>
      <c r="I155" s="1">
        <v>55</v>
      </c>
      <c r="J155" s="1">
        <v>550</v>
      </c>
      <c r="K155" s="1" t="s">
        <v>17</v>
      </c>
      <c r="L155" s="4">
        <v>4</v>
      </c>
    </row>
    <row r="156" spans="1:12" x14ac:dyDescent="0.3">
      <c r="A156" s="3" t="s">
        <v>415</v>
      </c>
      <c r="B156" s="1" t="s">
        <v>136</v>
      </c>
      <c r="C156" s="1" t="s">
        <v>73</v>
      </c>
      <c r="D156" s="1" t="s">
        <v>36</v>
      </c>
      <c r="E156" s="2">
        <v>46054</v>
      </c>
      <c r="F156" s="2">
        <v>46054</v>
      </c>
      <c r="G156" s="1" t="s">
        <v>42</v>
      </c>
      <c r="H156" s="1">
        <v>28</v>
      </c>
      <c r="I156" s="1">
        <v>35</v>
      </c>
      <c r="J156" s="1">
        <v>920</v>
      </c>
      <c r="K156" s="1" t="s">
        <v>17</v>
      </c>
      <c r="L156" s="4">
        <v>4.5</v>
      </c>
    </row>
    <row r="157" spans="1:12" x14ac:dyDescent="0.3">
      <c r="A157" s="3" t="s">
        <v>416</v>
      </c>
      <c r="B157" s="1" t="s">
        <v>138</v>
      </c>
      <c r="C157" s="1" t="s">
        <v>78</v>
      </c>
      <c r="D157" s="1" t="s">
        <v>41</v>
      </c>
      <c r="E157" s="2">
        <v>46082</v>
      </c>
      <c r="F157" s="2">
        <v>46082</v>
      </c>
      <c r="G157" s="1" t="s">
        <v>46</v>
      </c>
      <c r="H157" s="1">
        <v>35</v>
      </c>
      <c r="I157" s="1">
        <v>45</v>
      </c>
      <c r="J157" s="1">
        <v>680</v>
      </c>
      <c r="K157" s="1" t="s">
        <v>17</v>
      </c>
      <c r="L157" s="4">
        <v>4</v>
      </c>
    </row>
    <row r="158" spans="1:12" x14ac:dyDescent="0.3">
      <c r="A158" s="3" t="s">
        <v>417</v>
      </c>
      <c r="B158" s="1" t="s">
        <v>140</v>
      </c>
      <c r="C158" s="1" t="s">
        <v>82</v>
      </c>
      <c r="D158" s="1" t="s">
        <v>15</v>
      </c>
      <c r="E158" s="2">
        <v>46113</v>
      </c>
      <c r="F158" s="2">
        <v>46113</v>
      </c>
      <c r="G158" s="1" t="s">
        <v>16</v>
      </c>
      <c r="H158" s="1">
        <v>24</v>
      </c>
      <c r="I158" s="1">
        <v>30</v>
      </c>
      <c r="J158" s="1">
        <v>390</v>
      </c>
      <c r="K158" s="1" t="s">
        <v>17</v>
      </c>
      <c r="L158" s="4">
        <v>5</v>
      </c>
    </row>
    <row r="159" spans="1:12" x14ac:dyDescent="0.3">
      <c r="A159" s="3" t="s">
        <v>418</v>
      </c>
      <c r="B159" s="1" t="s">
        <v>142</v>
      </c>
      <c r="C159" s="1" t="s">
        <v>86</v>
      </c>
      <c r="D159" s="1" t="s">
        <v>21</v>
      </c>
      <c r="E159" s="2">
        <v>46143</v>
      </c>
      <c r="F159" s="2">
        <v>46143</v>
      </c>
      <c r="G159" s="1" t="s">
        <v>22</v>
      </c>
      <c r="H159" s="1">
        <v>42</v>
      </c>
      <c r="I159" s="1">
        <v>55</v>
      </c>
      <c r="J159" s="1">
        <v>1000</v>
      </c>
      <c r="K159" s="1" t="s">
        <v>75</v>
      </c>
      <c r="L159" s="4">
        <v>3.5</v>
      </c>
    </row>
    <row r="160" spans="1:12" x14ac:dyDescent="0.3">
      <c r="A160" s="3" t="s">
        <v>419</v>
      </c>
      <c r="B160" s="1" t="s">
        <v>144</v>
      </c>
      <c r="C160" s="1" t="s">
        <v>90</v>
      </c>
      <c r="D160" s="1" t="s">
        <v>26</v>
      </c>
      <c r="E160" s="2">
        <v>46174</v>
      </c>
      <c r="F160" s="2">
        <v>46174</v>
      </c>
      <c r="G160" s="1" t="s">
        <v>27</v>
      </c>
      <c r="H160" s="1">
        <v>30</v>
      </c>
      <c r="I160" s="1">
        <v>35</v>
      </c>
      <c r="J160" s="1">
        <v>780</v>
      </c>
      <c r="K160" s="1" t="s">
        <v>17</v>
      </c>
      <c r="L160" s="4">
        <v>4.5</v>
      </c>
    </row>
    <row r="161" spans="1:12" x14ac:dyDescent="0.3">
      <c r="A161" s="3" t="s">
        <v>420</v>
      </c>
      <c r="B161" s="1" t="s">
        <v>146</v>
      </c>
      <c r="C161" s="1" t="s">
        <v>94</v>
      </c>
      <c r="D161" s="1" t="s">
        <v>31</v>
      </c>
      <c r="E161" s="2">
        <v>46204</v>
      </c>
      <c r="F161" s="2">
        <v>46204</v>
      </c>
      <c r="G161" s="1" t="s">
        <v>32</v>
      </c>
      <c r="H161" s="1">
        <v>38</v>
      </c>
      <c r="I161" s="1">
        <v>50</v>
      </c>
      <c r="J161" s="1">
        <v>610</v>
      </c>
      <c r="K161" s="1" t="s">
        <v>17</v>
      </c>
      <c r="L161" s="4">
        <v>4</v>
      </c>
    </row>
    <row r="162" spans="1:12" x14ac:dyDescent="0.3">
      <c r="A162" s="3" t="s">
        <v>421</v>
      </c>
      <c r="B162" s="1" t="s">
        <v>148</v>
      </c>
      <c r="C162" s="1" t="s">
        <v>14</v>
      </c>
      <c r="D162" s="1" t="s">
        <v>36</v>
      </c>
      <c r="E162" s="2">
        <v>46235</v>
      </c>
      <c r="F162" s="2">
        <v>46235</v>
      </c>
      <c r="G162" s="1" t="s">
        <v>37</v>
      </c>
      <c r="H162" s="1">
        <v>33</v>
      </c>
      <c r="I162" s="1">
        <v>40</v>
      </c>
      <c r="J162" s="1">
        <v>540</v>
      </c>
      <c r="K162" s="1" t="s">
        <v>17</v>
      </c>
      <c r="L162" s="4">
        <v>4.5</v>
      </c>
    </row>
    <row r="163" spans="1:12" x14ac:dyDescent="0.3">
      <c r="A163" s="3" t="s">
        <v>422</v>
      </c>
      <c r="B163" s="1" t="s">
        <v>150</v>
      </c>
      <c r="C163" s="1" t="s">
        <v>20</v>
      </c>
      <c r="D163" s="1" t="s">
        <v>41</v>
      </c>
      <c r="E163" s="2">
        <v>46266</v>
      </c>
      <c r="F163" s="2">
        <v>46266</v>
      </c>
      <c r="G163" s="1" t="s">
        <v>42</v>
      </c>
      <c r="H163" s="1">
        <v>27</v>
      </c>
      <c r="I163" s="1">
        <v>35</v>
      </c>
      <c r="J163" s="1">
        <v>690</v>
      </c>
      <c r="K163" s="1" t="s">
        <v>17</v>
      </c>
      <c r="L163" s="4">
        <v>5</v>
      </c>
    </row>
    <row r="164" spans="1:12" x14ac:dyDescent="0.3">
      <c r="A164" s="3" t="s">
        <v>423</v>
      </c>
      <c r="B164" s="1" t="s">
        <v>152</v>
      </c>
      <c r="C164" s="1" t="s">
        <v>25</v>
      </c>
      <c r="D164" s="1" t="s">
        <v>15</v>
      </c>
      <c r="E164" s="2">
        <v>46296</v>
      </c>
      <c r="F164" s="2">
        <v>46296</v>
      </c>
      <c r="G164" s="1" t="s">
        <v>46</v>
      </c>
      <c r="H164" s="1">
        <v>40</v>
      </c>
      <c r="I164" s="1">
        <v>55</v>
      </c>
      <c r="J164" s="1">
        <v>870</v>
      </c>
      <c r="K164" s="1" t="s">
        <v>17</v>
      </c>
      <c r="L164" s="4">
        <v>4</v>
      </c>
    </row>
    <row r="165" spans="1:12" x14ac:dyDescent="0.3">
      <c r="A165" s="3" t="s">
        <v>424</v>
      </c>
      <c r="B165" s="1" t="s">
        <v>154</v>
      </c>
      <c r="C165" s="1" t="s">
        <v>30</v>
      </c>
      <c r="D165" s="1" t="s">
        <v>21</v>
      </c>
      <c r="E165" s="2">
        <v>46327</v>
      </c>
      <c r="F165" s="2">
        <v>46327</v>
      </c>
      <c r="G165" s="1"/>
      <c r="H165" s="1">
        <v>29</v>
      </c>
      <c r="I165" s="1">
        <v>30</v>
      </c>
      <c r="J165" s="1">
        <v>430</v>
      </c>
      <c r="K165" s="1" t="s">
        <v>17</v>
      </c>
      <c r="L165" s="4">
        <v>4.5</v>
      </c>
    </row>
    <row r="166" spans="1:12" x14ac:dyDescent="0.3">
      <c r="A166" s="3" t="s">
        <v>425</v>
      </c>
      <c r="B166" s="1" t="s">
        <v>157</v>
      </c>
      <c r="C166" s="1" t="s">
        <v>35</v>
      </c>
      <c r="D166" s="1" t="s">
        <v>26</v>
      </c>
      <c r="E166" s="2">
        <v>46357</v>
      </c>
      <c r="F166" s="2">
        <v>46357</v>
      </c>
      <c r="G166" s="1" t="s">
        <v>16</v>
      </c>
      <c r="H166" s="1">
        <v>34</v>
      </c>
      <c r="I166" s="1">
        <v>45</v>
      </c>
      <c r="J166" s="1">
        <v>980</v>
      </c>
      <c r="K166" s="1" t="s">
        <v>17</v>
      </c>
      <c r="L166" s="4">
        <v>4</v>
      </c>
    </row>
    <row r="167" spans="1:12" x14ac:dyDescent="0.3">
      <c r="A167" s="3" t="s">
        <v>426</v>
      </c>
      <c r="B167" s="1" t="s">
        <v>160</v>
      </c>
      <c r="C167" s="1" t="s">
        <v>40</v>
      </c>
      <c r="D167" s="1" t="s">
        <v>31</v>
      </c>
      <c r="E167" s="1" t="s">
        <v>427</v>
      </c>
      <c r="F167" s="1" t="s">
        <v>427</v>
      </c>
      <c r="G167" s="1" t="s">
        <v>22</v>
      </c>
      <c r="H167" s="1">
        <v>46</v>
      </c>
      <c r="I167" s="1">
        <v>65</v>
      </c>
      <c r="J167" s="1">
        <v>720</v>
      </c>
      <c r="K167" s="1" t="s">
        <v>75</v>
      </c>
      <c r="L167" s="4">
        <v>3</v>
      </c>
    </row>
    <row r="168" spans="1:12" x14ac:dyDescent="0.3">
      <c r="A168" s="3" t="s">
        <v>428</v>
      </c>
      <c r="B168" s="1" t="s">
        <v>163</v>
      </c>
      <c r="C168" s="1" t="s">
        <v>45</v>
      </c>
      <c r="D168" s="1" t="s">
        <v>36</v>
      </c>
      <c r="E168" s="1" t="s">
        <v>429</v>
      </c>
      <c r="F168" s="1" t="s">
        <v>429</v>
      </c>
      <c r="G168" s="1" t="s">
        <v>27</v>
      </c>
      <c r="H168" s="1">
        <v>25</v>
      </c>
      <c r="I168" s="1">
        <v>30</v>
      </c>
      <c r="J168" s="1">
        <v>580</v>
      </c>
      <c r="K168" s="1" t="s">
        <v>17</v>
      </c>
      <c r="L168" s="4">
        <v>4.5</v>
      </c>
    </row>
    <row r="169" spans="1:12" x14ac:dyDescent="0.3">
      <c r="A169" s="3" t="s">
        <v>430</v>
      </c>
      <c r="B169" s="1" t="s">
        <v>166</v>
      </c>
      <c r="C169" s="1" t="s">
        <v>49</v>
      </c>
      <c r="D169" s="1" t="s">
        <v>41</v>
      </c>
      <c r="E169" s="1" t="s">
        <v>431</v>
      </c>
      <c r="F169" s="1" t="s">
        <v>431</v>
      </c>
      <c r="G169" s="1" t="s">
        <v>32</v>
      </c>
      <c r="H169" s="1">
        <v>37</v>
      </c>
      <c r="I169" s="1">
        <v>45</v>
      </c>
      <c r="J169" s="1">
        <v>510</v>
      </c>
      <c r="K169" s="1" t="s">
        <v>17</v>
      </c>
      <c r="L169" s="4">
        <v>4</v>
      </c>
    </row>
    <row r="170" spans="1:12" x14ac:dyDescent="0.3">
      <c r="A170" s="3" t="s">
        <v>432</v>
      </c>
      <c r="B170" s="1" t="s">
        <v>169</v>
      </c>
      <c r="C170" s="1" t="s">
        <v>52</v>
      </c>
      <c r="D170" s="1" t="s">
        <v>15</v>
      </c>
      <c r="E170" s="1" t="s">
        <v>433</v>
      </c>
      <c r="F170" s="1" t="s">
        <v>433</v>
      </c>
      <c r="G170" s="1" t="s">
        <v>37</v>
      </c>
      <c r="H170" s="1">
        <v>28</v>
      </c>
      <c r="I170" s="1">
        <v>35</v>
      </c>
      <c r="J170" s="1">
        <v>800</v>
      </c>
      <c r="K170" s="1" t="s">
        <v>17</v>
      </c>
      <c r="L170" s="4">
        <v>5</v>
      </c>
    </row>
    <row r="171" spans="1:12" x14ac:dyDescent="0.3">
      <c r="A171" s="3" t="s">
        <v>434</v>
      </c>
      <c r="B171" s="1" t="s">
        <v>172</v>
      </c>
      <c r="C171" s="1" t="s">
        <v>55</v>
      </c>
      <c r="D171" s="1" t="s">
        <v>21</v>
      </c>
      <c r="E171" s="1" t="s">
        <v>435</v>
      </c>
      <c r="F171" s="1" t="s">
        <v>435</v>
      </c>
      <c r="G171" s="1" t="s">
        <v>42</v>
      </c>
      <c r="H171" s="1">
        <v>41</v>
      </c>
      <c r="I171" s="1">
        <v>55</v>
      </c>
      <c r="J171" s="1">
        <v>650</v>
      </c>
      <c r="K171" s="1" t="s">
        <v>17</v>
      </c>
      <c r="L171" s="4">
        <v>3.5</v>
      </c>
    </row>
    <row r="172" spans="1:12" x14ac:dyDescent="0.3">
      <c r="A172" s="3" t="s">
        <v>436</v>
      </c>
      <c r="B172" s="1" t="s">
        <v>175</v>
      </c>
      <c r="C172" s="1" t="s">
        <v>59</v>
      </c>
      <c r="D172" s="1" t="s">
        <v>26</v>
      </c>
      <c r="E172" s="1" t="s">
        <v>437</v>
      </c>
      <c r="F172" s="1" t="s">
        <v>437</v>
      </c>
      <c r="G172" s="1" t="s">
        <v>46</v>
      </c>
      <c r="H172" s="1">
        <v>30</v>
      </c>
      <c r="I172" s="1">
        <v>40</v>
      </c>
      <c r="J172" s="1">
        <v>1030</v>
      </c>
      <c r="K172" s="1" t="s">
        <v>17</v>
      </c>
      <c r="L172" s="4">
        <v>4.5</v>
      </c>
    </row>
    <row r="173" spans="1:12" x14ac:dyDescent="0.3">
      <c r="A173" s="3" t="s">
        <v>438</v>
      </c>
      <c r="B173" s="1" t="s">
        <v>178</v>
      </c>
      <c r="C173" s="1" t="s">
        <v>62</v>
      </c>
      <c r="D173" s="1" t="s">
        <v>31</v>
      </c>
      <c r="E173" s="1" t="s">
        <v>439</v>
      </c>
      <c r="F173" s="1" t="s">
        <v>439</v>
      </c>
      <c r="G173" s="1" t="s">
        <v>16</v>
      </c>
      <c r="H173" s="1">
        <v>32</v>
      </c>
      <c r="I173" s="1">
        <v>40</v>
      </c>
      <c r="J173" s="1">
        <v>470</v>
      </c>
      <c r="K173" s="1" t="s">
        <v>17</v>
      </c>
      <c r="L173" s="4">
        <v>4</v>
      </c>
    </row>
    <row r="174" spans="1:12" x14ac:dyDescent="0.3">
      <c r="A174" s="3" t="s">
        <v>440</v>
      </c>
      <c r="B174" s="1" t="s">
        <v>181</v>
      </c>
      <c r="C174" s="1" t="s">
        <v>65</v>
      </c>
      <c r="D174" s="1" t="s">
        <v>36</v>
      </c>
      <c r="E174" s="1" t="s">
        <v>441</v>
      </c>
      <c r="F174" s="1" t="s">
        <v>441</v>
      </c>
      <c r="G174" s="1" t="s">
        <v>22</v>
      </c>
      <c r="H174" s="1">
        <v>36</v>
      </c>
      <c r="I174" s="1">
        <v>45</v>
      </c>
      <c r="J174" s="1">
        <v>830</v>
      </c>
      <c r="K174" s="1" t="s">
        <v>17</v>
      </c>
      <c r="L174" s="4">
        <v>5</v>
      </c>
    </row>
    <row r="175" spans="1:12" x14ac:dyDescent="0.3">
      <c r="A175" s="3" t="s">
        <v>442</v>
      </c>
      <c r="B175" s="1" t="s">
        <v>184</v>
      </c>
      <c r="C175" s="1" t="s">
        <v>69</v>
      </c>
      <c r="D175" s="1" t="s">
        <v>41</v>
      </c>
      <c r="E175" s="1" t="s">
        <v>443</v>
      </c>
      <c r="F175" s="1" t="s">
        <v>443</v>
      </c>
      <c r="G175" s="1" t="s">
        <v>27</v>
      </c>
      <c r="H175" s="1">
        <v>44</v>
      </c>
      <c r="I175" s="1">
        <v>60</v>
      </c>
      <c r="J175" s="1">
        <v>560</v>
      </c>
      <c r="K175" s="1" t="s">
        <v>75</v>
      </c>
      <c r="L175" s="4">
        <v>3</v>
      </c>
    </row>
    <row r="176" spans="1:12" x14ac:dyDescent="0.3">
      <c r="A176" s="3" t="s">
        <v>444</v>
      </c>
      <c r="B176" s="1" t="s">
        <v>187</v>
      </c>
      <c r="C176" s="1" t="s">
        <v>73</v>
      </c>
      <c r="D176" s="1" t="s">
        <v>15</v>
      </c>
      <c r="E176" s="1" t="s">
        <v>445</v>
      </c>
      <c r="F176" s="1" t="s">
        <v>445</v>
      </c>
      <c r="G176" s="1" t="s">
        <v>32</v>
      </c>
      <c r="H176" s="1">
        <v>31</v>
      </c>
      <c r="I176" s="1">
        <v>40</v>
      </c>
      <c r="J176" s="1">
        <v>940</v>
      </c>
      <c r="K176" s="1" t="s">
        <v>17</v>
      </c>
      <c r="L176" s="4">
        <v>4.5</v>
      </c>
    </row>
    <row r="177" spans="1:12" x14ac:dyDescent="0.3">
      <c r="A177" s="3" t="s">
        <v>446</v>
      </c>
      <c r="B177" s="1" t="s">
        <v>190</v>
      </c>
      <c r="C177" s="1" t="s">
        <v>78</v>
      </c>
      <c r="D177" s="1" t="s">
        <v>21</v>
      </c>
      <c r="E177" s="1" t="s">
        <v>447</v>
      </c>
      <c r="F177" s="1" t="s">
        <v>447</v>
      </c>
      <c r="G177" s="1"/>
      <c r="H177" s="1">
        <v>26</v>
      </c>
      <c r="I177" s="1">
        <v>30</v>
      </c>
      <c r="J177" s="1">
        <v>700</v>
      </c>
      <c r="K177" s="1" t="s">
        <v>17</v>
      </c>
      <c r="L177" s="4">
        <v>4</v>
      </c>
    </row>
    <row r="178" spans="1:12" x14ac:dyDescent="0.3">
      <c r="A178" s="3" t="s">
        <v>448</v>
      </c>
      <c r="B178" s="1" t="s">
        <v>193</v>
      </c>
      <c r="C178" s="1" t="s">
        <v>82</v>
      </c>
      <c r="D178" s="1" t="s">
        <v>26</v>
      </c>
      <c r="E178" s="1" t="s">
        <v>449</v>
      </c>
      <c r="F178" s="1" t="s">
        <v>449</v>
      </c>
      <c r="G178" s="1" t="s">
        <v>37</v>
      </c>
      <c r="H178" s="1">
        <v>35</v>
      </c>
      <c r="I178" s="1">
        <v>45</v>
      </c>
      <c r="J178" s="1">
        <v>400</v>
      </c>
      <c r="K178" s="1" t="s">
        <v>17</v>
      </c>
      <c r="L178" s="4">
        <v>5</v>
      </c>
    </row>
    <row r="179" spans="1:12" x14ac:dyDescent="0.3">
      <c r="A179" s="3" t="s">
        <v>450</v>
      </c>
      <c r="B179" s="1" t="s">
        <v>196</v>
      </c>
      <c r="C179" s="1" t="s">
        <v>86</v>
      </c>
      <c r="D179" s="1" t="s">
        <v>31</v>
      </c>
      <c r="E179" s="1" t="s">
        <v>451</v>
      </c>
      <c r="F179" s="1" t="s">
        <v>451</v>
      </c>
      <c r="G179" s="1" t="s">
        <v>42</v>
      </c>
      <c r="H179" s="1">
        <v>39</v>
      </c>
      <c r="I179" s="1">
        <v>50</v>
      </c>
      <c r="J179" s="1">
        <v>1020</v>
      </c>
      <c r="K179" s="1" t="s">
        <v>17</v>
      </c>
      <c r="L179" s="4">
        <v>4</v>
      </c>
    </row>
    <row r="180" spans="1:12" x14ac:dyDescent="0.3">
      <c r="A180" s="3" t="s">
        <v>452</v>
      </c>
      <c r="B180" s="1" t="s">
        <v>199</v>
      </c>
      <c r="C180" s="1" t="s">
        <v>90</v>
      </c>
      <c r="D180" s="1" t="s">
        <v>36</v>
      </c>
      <c r="E180" s="1" t="s">
        <v>453</v>
      </c>
      <c r="F180" s="1" t="s">
        <v>453</v>
      </c>
      <c r="G180" s="1" t="s">
        <v>46</v>
      </c>
      <c r="H180" s="1">
        <v>27</v>
      </c>
      <c r="I180" s="1">
        <v>35</v>
      </c>
      <c r="J180" s="1">
        <v>810</v>
      </c>
      <c r="K180" s="1" t="s">
        <v>17</v>
      </c>
      <c r="L180" s="4">
        <v>4.5</v>
      </c>
    </row>
    <row r="181" spans="1:12" x14ac:dyDescent="0.3">
      <c r="A181" s="3" t="s">
        <v>454</v>
      </c>
      <c r="B181" s="1" t="s">
        <v>202</v>
      </c>
      <c r="C181" s="1" t="s">
        <v>94</v>
      </c>
      <c r="D181" s="1" t="s">
        <v>41</v>
      </c>
      <c r="E181" s="1" t="s">
        <v>455</v>
      </c>
      <c r="F181" s="1" t="s">
        <v>455</v>
      </c>
      <c r="G181" s="1" t="s">
        <v>16</v>
      </c>
      <c r="H181" s="1">
        <v>45</v>
      </c>
      <c r="I181" s="1">
        <v>60</v>
      </c>
      <c r="J181" s="1">
        <v>620</v>
      </c>
      <c r="K181" s="1" t="s">
        <v>75</v>
      </c>
      <c r="L181" s="4">
        <v>3.5</v>
      </c>
    </row>
    <row r="182" spans="1:12" x14ac:dyDescent="0.3">
      <c r="A182" s="3" t="s">
        <v>456</v>
      </c>
      <c r="B182" s="1" t="s">
        <v>205</v>
      </c>
      <c r="C182" s="1" t="s">
        <v>14</v>
      </c>
      <c r="D182" s="1" t="s">
        <v>15</v>
      </c>
      <c r="E182" s="1" t="s">
        <v>457</v>
      </c>
      <c r="F182" s="1" t="s">
        <v>457</v>
      </c>
      <c r="G182" s="1" t="s">
        <v>22</v>
      </c>
      <c r="H182" s="1">
        <v>30</v>
      </c>
      <c r="I182" s="1">
        <v>35</v>
      </c>
      <c r="J182" s="1">
        <v>560</v>
      </c>
      <c r="K182" s="1" t="s">
        <v>17</v>
      </c>
      <c r="L182" s="4">
        <v>4.5</v>
      </c>
    </row>
    <row r="183" spans="1:12" x14ac:dyDescent="0.3">
      <c r="A183" s="3" t="s">
        <v>458</v>
      </c>
      <c r="B183" s="1" t="s">
        <v>208</v>
      </c>
      <c r="C183" s="1" t="s">
        <v>20</v>
      </c>
      <c r="D183" s="1" t="s">
        <v>21</v>
      </c>
      <c r="E183" s="1" t="s">
        <v>459</v>
      </c>
      <c r="F183" s="1" t="s">
        <v>459</v>
      </c>
      <c r="G183" s="1" t="s">
        <v>27</v>
      </c>
      <c r="H183" s="1">
        <v>38</v>
      </c>
      <c r="I183" s="1">
        <v>50</v>
      </c>
      <c r="J183" s="1">
        <v>720</v>
      </c>
      <c r="K183" s="1" t="s">
        <v>17</v>
      </c>
      <c r="L183" s="4">
        <v>4</v>
      </c>
    </row>
    <row r="184" spans="1:12" x14ac:dyDescent="0.3">
      <c r="A184" s="3" t="s">
        <v>460</v>
      </c>
      <c r="B184" s="1" t="s">
        <v>210</v>
      </c>
      <c r="C184" s="1" t="s">
        <v>25</v>
      </c>
      <c r="D184" s="1" t="s">
        <v>26</v>
      </c>
      <c r="E184" s="1" t="s">
        <v>461</v>
      </c>
      <c r="F184" s="1" t="s">
        <v>461</v>
      </c>
      <c r="G184" s="1" t="s">
        <v>32</v>
      </c>
      <c r="H184" s="1">
        <v>43</v>
      </c>
      <c r="I184" s="1">
        <v>60</v>
      </c>
      <c r="J184" s="1">
        <v>900</v>
      </c>
      <c r="K184" s="1" t="s">
        <v>75</v>
      </c>
      <c r="L184" s="4">
        <v>3</v>
      </c>
    </row>
    <row r="185" spans="1:12" x14ac:dyDescent="0.3">
      <c r="A185" s="3" t="s">
        <v>462</v>
      </c>
      <c r="B185" s="1" t="s">
        <v>212</v>
      </c>
      <c r="C185" s="1" t="s">
        <v>30</v>
      </c>
      <c r="D185" s="1" t="s">
        <v>31</v>
      </c>
      <c r="E185" s="1" t="s">
        <v>463</v>
      </c>
      <c r="F185" s="1" t="s">
        <v>463</v>
      </c>
      <c r="G185" s="1" t="s">
        <v>37</v>
      </c>
      <c r="H185" s="1">
        <v>27</v>
      </c>
      <c r="I185" s="1">
        <v>30</v>
      </c>
      <c r="J185" s="1">
        <v>450</v>
      </c>
      <c r="K185" s="1" t="s">
        <v>17</v>
      </c>
      <c r="L185" s="4">
        <v>5</v>
      </c>
    </row>
    <row r="186" spans="1:12" x14ac:dyDescent="0.3">
      <c r="A186" s="3" t="s">
        <v>464</v>
      </c>
      <c r="B186" s="1" t="s">
        <v>214</v>
      </c>
      <c r="C186" s="1" t="s">
        <v>35</v>
      </c>
      <c r="D186" s="1" t="s">
        <v>36</v>
      </c>
      <c r="E186" s="2">
        <v>46024</v>
      </c>
      <c r="F186" s="2">
        <v>46024</v>
      </c>
      <c r="G186" s="1" t="s">
        <v>42</v>
      </c>
      <c r="H186" s="1">
        <v>34</v>
      </c>
      <c r="I186" s="1">
        <v>45</v>
      </c>
      <c r="J186" s="1">
        <v>990</v>
      </c>
      <c r="K186" s="1" t="s">
        <v>17</v>
      </c>
      <c r="L186" s="4">
        <v>4.5</v>
      </c>
    </row>
    <row r="187" spans="1:12" x14ac:dyDescent="0.3">
      <c r="A187" s="3" t="s">
        <v>465</v>
      </c>
      <c r="B187" s="1" t="s">
        <v>216</v>
      </c>
      <c r="C187" s="1" t="s">
        <v>40</v>
      </c>
      <c r="D187" s="1" t="s">
        <v>41</v>
      </c>
      <c r="E187" s="2">
        <v>46055</v>
      </c>
      <c r="F187" s="2">
        <v>46055</v>
      </c>
      <c r="G187" s="1" t="s">
        <v>46</v>
      </c>
      <c r="H187" s="1">
        <v>40</v>
      </c>
      <c r="I187" s="1">
        <v>55</v>
      </c>
      <c r="J187" s="1">
        <v>740</v>
      </c>
      <c r="K187" s="1" t="s">
        <v>17</v>
      </c>
      <c r="L187" s="4">
        <v>4</v>
      </c>
    </row>
    <row r="188" spans="1:12" x14ac:dyDescent="0.3">
      <c r="A188" s="3" t="s">
        <v>466</v>
      </c>
      <c r="B188" s="1" t="s">
        <v>218</v>
      </c>
      <c r="C188" s="1" t="s">
        <v>45</v>
      </c>
      <c r="D188" s="1" t="s">
        <v>15</v>
      </c>
      <c r="E188" s="2">
        <v>46083</v>
      </c>
      <c r="F188" s="2">
        <v>46083</v>
      </c>
      <c r="G188" s="1" t="s">
        <v>16</v>
      </c>
      <c r="H188" s="1">
        <v>25</v>
      </c>
      <c r="I188" s="1">
        <v>30</v>
      </c>
      <c r="J188" s="1">
        <v>600</v>
      </c>
      <c r="K188" s="1" t="s">
        <v>17</v>
      </c>
      <c r="L188" s="4">
        <v>4.5</v>
      </c>
    </row>
    <row r="189" spans="1:12" x14ac:dyDescent="0.3">
      <c r="A189" s="3" t="s">
        <v>467</v>
      </c>
      <c r="B189" s="1" t="s">
        <v>220</v>
      </c>
      <c r="C189" s="1" t="s">
        <v>49</v>
      </c>
      <c r="D189" s="1" t="s">
        <v>21</v>
      </c>
      <c r="E189" s="2">
        <v>46114</v>
      </c>
      <c r="F189" s="2">
        <v>46114</v>
      </c>
      <c r="G189" s="1"/>
      <c r="H189" s="1">
        <v>35</v>
      </c>
      <c r="I189" s="1">
        <v>45</v>
      </c>
      <c r="J189" s="1">
        <v>520</v>
      </c>
      <c r="K189" s="1" t="s">
        <v>17</v>
      </c>
      <c r="L189" s="4">
        <v>4</v>
      </c>
    </row>
    <row r="190" spans="1:12" x14ac:dyDescent="0.3">
      <c r="A190" s="3" t="s">
        <v>468</v>
      </c>
      <c r="B190" s="1" t="s">
        <v>222</v>
      </c>
      <c r="C190" s="1" t="s">
        <v>52</v>
      </c>
      <c r="D190" s="1" t="s">
        <v>26</v>
      </c>
      <c r="E190" s="2">
        <v>46144</v>
      </c>
      <c r="F190" s="2">
        <v>46144</v>
      </c>
      <c r="G190" s="1" t="s">
        <v>22</v>
      </c>
      <c r="H190" s="1">
        <v>29</v>
      </c>
      <c r="I190" s="1">
        <v>35</v>
      </c>
      <c r="J190" s="1">
        <v>830</v>
      </c>
      <c r="K190" s="1" t="s">
        <v>17</v>
      </c>
      <c r="L190" s="4">
        <v>5</v>
      </c>
    </row>
    <row r="191" spans="1:12" x14ac:dyDescent="0.3">
      <c r="A191" s="3" t="s">
        <v>469</v>
      </c>
      <c r="B191" s="1" t="s">
        <v>224</v>
      </c>
      <c r="C191" s="1" t="s">
        <v>55</v>
      </c>
      <c r="D191" s="1" t="s">
        <v>31</v>
      </c>
      <c r="E191" s="2">
        <v>46175</v>
      </c>
      <c r="F191" s="2">
        <v>46175</v>
      </c>
      <c r="G191" s="1" t="s">
        <v>27</v>
      </c>
      <c r="H191" s="1">
        <v>47</v>
      </c>
      <c r="I191" s="1">
        <v>65</v>
      </c>
      <c r="J191" s="1">
        <v>670</v>
      </c>
      <c r="K191" s="1" t="s">
        <v>75</v>
      </c>
      <c r="L191" s="4">
        <v>3.5</v>
      </c>
    </row>
    <row r="192" spans="1:12" x14ac:dyDescent="0.3">
      <c r="A192" s="3" t="s">
        <v>470</v>
      </c>
      <c r="B192" s="1" t="s">
        <v>226</v>
      </c>
      <c r="C192" s="1" t="s">
        <v>59</v>
      </c>
      <c r="D192" s="1" t="s">
        <v>36</v>
      </c>
      <c r="E192" s="2">
        <v>46205</v>
      </c>
      <c r="F192" s="2">
        <v>46205</v>
      </c>
      <c r="G192" s="1" t="s">
        <v>32</v>
      </c>
      <c r="H192" s="1">
        <v>32</v>
      </c>
      <c r="I192" s="1">
        <v>40</v>
      </c>
      <c r="J192" s="1">
        <v>1040</v>
      </c>
      <c r="K192" s="1" t="s">
        <v>17</v>
      </c>
      <c r="L192" s="4">
        <v>4.5</v>
      </c>
    </row>
    <row r="193" spans="1:12" x14ac:dyDescent="0.3">
      <c r="A193" s="3" t="s">
        <v>471</v>
      </c>
      <c r="B193" s="1" t="s">
        <v>228</v>
      </c>
      <c r="C193" s="1" t="s">
        <v>62</v>
      </c>
      <c r="D193" s="1" t="s">
        <v>41</v>
      </c>
      <c r="E193" s="2">
        <v>46236</v>
      </c>
      <c r="F193" s="2">
        <v>46236</v>
      </c>
      <c r="G193" s="1" t="s">
        <v>37</v>
      </c>
      <c r="H193" s="1">
        <v>28</v>
      </c>
      <c r="I193" s="1">
        <v>35</v>
      </c>
      <c r="J193" s="1">
        <v>490</v>
      </c>
      <c r="K193" s="1" t="s">
        <v>17</v>
      </c>
      <c r="L193" s="4">
        <v>4</v>
      </c>
    </row>
    <row r="194" spans="1:12" x14ac:dyDescent="0.3">
      <c r="A194" s="3" t="s">
        <v>472</v>
      </c>
      <c r="B194" s="1" t="s">
        <v>230</v>
      </c>
      <c r="C194" s="1" t="s">
        <v>65</v>
      </c>
      <c r="D194" s="1" t="s">
        <v>15</v>
      </c>
      <c r="E194" s="2">
        <v>46267</v>
      </c>
      <c r="F194" s="2">
        <v>46267</v>
      </c>
      <c r="G194" s="1" t="s">
        <v>42</v>
      </c>
      <c r="H194" s="1">
        <v>37</v>
      </c>
      <c r="I194" s="1">
        <v>50</v>
      </c>
      <c r="J194" s="1">
        <v>850</v>
      </c>
      <c r="K194" s="1" t="s">
        <v>17</v>
      </c>
      <c r="L194" s="4">
        <v>5</v>
      </c>
    </row>
    <row r="195" spans="1:12" x14ac:dyDescent="0.3">
      <c r="A195" s="3" t="s">
        <v>473</v>
      </c>
      <c r="B195" s="1" t="s">
        <v>232</v>
      </c>
      <c r="C195" s="1" t="s">
        <v>69</v>
      </c>
      <c r="D195" s="1" t="s">
        <v>21</v>
      </c>
      <c r="E195" s="2">
        <v>46297</v>
      </c>
      <c r="F195" s="2">
        <v>46297</v>
      </c>
      <c r="G195" s="1" t="s">
        <v>46</v>
      </c>
      <c r="H195" s="1">
        <v>40</v>
      </c>
      <c r="I195" s="1">
        <v>55</v>
      </c>
      <c r="J195" s="1">
        <v>580</v>
      </c>
      <c r="K195" s="1" t="s">
        <v>17</v>
      </c>
      <c r="L195" s="4">
        <v>4</v>
      </c>
    </row>
    <row r="196" spans="1:12" x14ac:dyDescent="0.3">
      <c r="A196" s="3" t="s">
        <v>474</v>
      </c>
      <c r="B196" s="1" t="s">
        <v>235</v>
      </c>
      <c r="C196" s="1" t="s">
        <v>73</v>
      </c>
      <c r="D196" s="1" t="s">
        <v>26</v>
      </c>
      <c r="E196" s="2">
        <v>46328</v>
      </c>
      <c r="F196" s="2">
        <v>46328</v>
      </c>
      <c r="G196" s="1" t="s">
        <v>16</v>
      </c>
      <c r="H196" s="1">
        <v>31</v>
      </c>
      <c r="I196" s="1">
        <v>40</v>
      </c>
      <c r="J196" s="1">
        <v>960</v>
      </c>
      <c r="K196" s="1" t="s">
        <v>17</v>
      </c>
      <c r="L196" s="4">
        <v>4.5</v>
      </c>
    </row>
    <row r="197" spans="1:12" x14ac:dyDescent="0.3">
      <c r="A197" s="3" t="s">
        <v>475</v>
      </c>
      <c r="B197" s="1" t="s">
        <v>238</v>
      </c>
      <c r="C197" s="1" t="s">
        <v>78</v>
      </c>
      <c r="D197" s="1" t="s">
        <v>31</v>
      </c>
      <c r="E197" s="2">
        <v>46358</v>
      </c>
      <c r="F197" s="2">
        <v>46358</v>
      </c>
      <c r="G197" s="1" t="s">
        <v>22</v>
      </c>
      <c r="H197" s="1">
        <v>33</v>
      </c>
      <c r="I197" s="1">
        <v>40</v>
      </c>
      <c r="J197" s="1">
        <v>710</v>
      </c>
      <c r="K197" s="1" t="s">
        <v>17</v>
      </c>
      <c r="L197" s="4">
        <v>4</v>
      </c>
    </row>
    <row r="198" spans="1:12" x14ac:dyDescent="0.3">
      <c r="A198" s="3" t="s">
        <v>476</v>
      </c>
      <c r="B198" s="1" t="s">
        <v>241</v>
      </c>
      <c r="C198" s="1" t="s">
        <v>82</v>
      </c>
      <c r="D198" s="1" t="s">
        <v>36</v>
      </c>
      <c r="E198" s="1" t="s">
        <v>477</v>
      </c>
      <c r="F198" s="1" t="s">
        <v>477</v>
      </c>
      <c r="G198" s="1" t="s">
        <v>27</v>
      </c>
      <c r="H198" s="1">
        <v>26</v>
      </c>
      <c r="I198" s="1">
        <v>30</v>
      </c>
      <c r="J198" s="1">
        <v>420</v>
      </c>
      <c r="K198" s="1" t="s">
        <v>17</v>
      </c>
      <c r="L198" s="4">
        <v>5</v>
      </c>
    </row>
    <row r="199" spans="1:12" x14ac:dyDescent="0.3">
      <c r="A199" s="3" t="s">
        <v>478</v>
      </c>
      <c r="B199" s="1" t="s">
        <v>244</v>
      </c>
      <c r="C199" s="1" t="s">
        <v>86</v>
      </c>
      <c r="D199" s="1" t="s">
        <v>41</v>
      </c>
      <c r="E199" s="1" t="s">
        <v>479</v>
      </c>
      <c r="F199" s="1" t="s">
        <v>479</v>
      </c>
      <c r="G199" s="1" t="s">
        <v>32</v>
      </c>
      <c r="H199" s="1">
        <v>42</v>
      </c>
      <c r="I199" s="1">
        <v>60</v>
      </c>
      <c r="J199" s="1">
        <v>1050</v>
      </c>
      <c r="K199" s="1" t="s">
        <v>75</v>
      </c>
      <c r="L199" s="4">
        <v>3</v>
      </c>
    </row>
    <row r="200" spans="1:12" x14ac:dyDescent="0.3">
      <c r="A200" s="3" t="s">
        <v>480</v>
      </c>
      <c r="B200" s="1" t="s">
        <v>247</v>
      </c>
      <c r="C200" s="1" t="s">
        <v>90</v>
      </c>
      <c r="D200" s="1" t="s">
        <v>15</v>
      </c>
      <c r="E200" s="1" t="s">
        <v>481</v>
      </c>
      <c r="F200" s="1" t="s">
        <v>481</v>
      </c>
      <c r="G200" s="1" t="s">
        <v>37</v>
      </c>
      <c r="H200" s="1">
        <v>30</v>
      </c>
      <c r="I200" s="1">
        <v>35</v>
      </c>
      <c r="J200" s="1">
        <v>860</v>
      </c>
      <c r="K200" s="1" t="s">
        <v>17</v>
      </c>
      <c r="L200" s="4">
        <v>4.5</v>
      </c>
    </row>
    <row r="201" spans="1:12" x14ac:dyDescent="0.3">
      <c r="A201" s="8" t="s">
        <v>482</v>
      </c>
      <c r="B201" s="9" t="s">
        <v>250</v>
      </c>
      <c r="C201" s="9" t="s">
        <v>94</v>
      </c>
      <c r="D201" s="9" t="s">
        <v>21</v>
      </c>
      <c r="E201" s="9" t="s">
        <v>483</v>
      </c>
      <c r="F201" s="9" t="s">
        <v>483</v>
      </c>
      <c r="G201" s="9" t="s">
        <v>42</v>
      </c>
      <c r="H201" s="9">
        <v>36</v>
      </c>
      <c r="I201" s="9">
        <v>45</v>
      </c>
      <c r="J201" s="9">
        <v>640</v>
      </c>
      <c r="K201" s="9" t="s">
        <v>17</v>
      </c>
      <c r="L201" s="10">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5ECBC-6CF7-48B8-B8BD-978B3065B411}">
  <dimension ref="A1:F21"/>
  <sheetViews>
    <sheetView workbookViewId="0">
      <selection activeCell="B7" sqref="B7"/>
    </sheetView>
  </sheetViews>
  <sheetFormatPr defaultRowHeight="14.4" x14ac:dyDescent="0.3"/>
  <cols>
    <col min="1" max="1" width="17.6640625" customWidth="1"/>
    <col min="2" max="2" width="21.5546875" customWidth="1"/>
    <col min="3" max="3" width="20.77734375" customWidth="1"/>
    <col min="4" max="4" width="15.21875" customWidth="1"/>
    <col min="6" max="6" width="17.77734375" customWidth="1"/>
  </cols>
  <sheetData>
    <row r="1" spans="1:6" x14ac:dyDescent="0.3">
      <c r="A1" s="5" t="s">
        <v>2</v>
      </c>
      <c r="B1" s="6" t="s">
        <v>532</v>
      </c>
      <c r="C1" s="6" t="s">
        <v>485</v>
      </c>
      <c r="D1" s="6" t="s">
        <v>486</v>
      </c>
      <c r="E1" s="6" t="s">
        <v>487</v>
      </c>
      <c r="F1" s="7" t="s">
        <v>488</v>
      </c>
    </row>
    <row r="2" spans="1:6" x14ac:dyDescent="0.3">
      <c r="A2" s="3" t="s">
        <v>14</v>
      </c>
      <c r="B2" s="1" t="s">
        <v>489</v>
      </c>
      <c r="C2" s="1" t="s">
        <v>490</v>
      </c>
      <c r="D2" s="1" t="s">
        <v>491</v>
      </c>
      <c r="E2" s="1" t="s">
        <v>492</v>
      </c>
      <c r="F2" s="4">
        <v>4.5</v>
      </c>
    </row>
    <row r="3" spans="1:6" x14ac:dyDescent="0.3">
      <c r="A3" s="3" t="s">
        <v>20</v>
      </c>
      <c r="B3" s="1" t="s">
        <v>493</v>
      </c>
      <c r="C3" s="1" t="s">
        <v>494</v>
      </c>
      <c r="D3" s="1" t="s">
        <v>495</v>
      </c>
      <c r="E3" s="1" t="s">
        <v>496</v>
      </c>
      <c r="F3" s="4">
        <v>4.2</v>
      </c>
    </row>
    <row r="4" spans="1:6" x14ac:dyDescent="0.3">
      <c r="A4" s="3" t="s">
        <v>25</v>
      </c>
      <c r="B4" s="1" t="s">
        <v>497</v>
      </c>
      <c r="C4" s="1" t="s">
        <v>498</v>
      </c>
      <c r="D4" s="1" t="s">
        <v>491</v>
      </c>
      <c r="E4" s="1" t="s">
        <v>499</v>
      </c>
      <c r="F4" s="4">
        <v>4.4000000000000004</v>
      </c>
    </row>
    <row r="5" spans="1:6" x14ac:dyDescent="0.3">
      <c r="A5" s="3" t="s">
        <v>30</v>
      </c>
      <c r="B5" s="1" t="s">
        <v>500</v>
      </c>
      <c r="C5" s="1" t="s">
        <v>501</v>
      </c>
      <c r="D5" s="1" t="s">
        <v>495</v>
      </c>
      <c r="E5" s="1" t="s">
        <v>502</v>
      </c>
      <c r="F5" s="4">
        <v>4.0999999999999996</v>
      </c>
    </row>
    <row r="6" spans="1:6" x14ac:dyDescent="0.3">
      <c r="A6" s="3" t="s">
        <v>35</v>
      </c>
      <c r="B6" s="1" t="s">
        <v>503</v>
      </c>
      <c r="C6" s="1" t="s">
        <v>504</v>
      </c>
      <c r="D6" s="1" t="s">
        <v>495</v>
      </c>
      <c r="E6" s="1" t="s">
        <v>505</v>
      </c>
      <c r="F6" s="4">
        <v>4.5999999999999996</v>
      </c>
    </row>
    <row r="7" spans="1:6" x14ac:dyDescent="0.3">
      <c r="A7" s="3" t="s">
        <v>40</v>
      </c>
      <c r="B7" s="1" t="s">
        <v>506</v>
      </c>
      <c r="C7" s="1" t="s">
        <v>507</v>
      </c>
      <c r="D7" s="1" t="s">
        <v>508</v>
      </c>
      <c r="E7" s="1" t="s">
        <v>492</v>
      </c>
      <c r="F7" s="4">
        <v>4.3</v>
      </c>
    </row>
    <row r="8" spans="1:6" x14ac:dyDescent="0.3">
      <c r="A8" s="3" t="s">
        <v>45</v>
      </c>
      <c r="B8" s="1" t="s">
        <v>509</v>
      </c>
      <c r="C8" s="1" t="s">
        <v>510</v>
      </c>
      <c r="D8" s="1" t="s">
        <v>511</v>
      </c>
      <c r="E8" s="1" t="s">
        <v>496</v>
      </c>
      <c r="F8" s="4">
        <v>4.2</v>
      </c>
    </row>
    <row r="9" spans="1:6" x14ac:dyDescent="0.3">
      <c r="A9" s="3" t="s">
        <v>49</v>
      </c>
      <c r="B9" s="1" t="s">
        <v>512</v>
      </c>
      <c r="C9" s="1" t="s">
        <v>511</v>
      </c>
      <c r="D9" s="1" t="s">
        <v>511</v>
      </c>
      <c r="E9" s="1" t="s">
        <v>499</v>
      </c>
      <c r="F9" s="4">
        <v>4</v>
      </c>
    </row>
    <row r="10" spans="1:6" x14ac:dyDescent="0.3">
      <c r="A10" s="3" t="s">
        <v>52</v>
      </c>
      <c r="B10" s="1" t="s">
        <v>513</v>
      </c>
      <c r="C10" s="1" t="s">
        <v>514</v>
      </c>
      <c r="D10" s="1" t="s">
        <v>491</v>
      </c>
      <c r="E10" s="1" t="s">
        <v>492</v>
      </c>
      <c r="F10" s="4">
        <v>4.5</v>
      </c>
    </row>
    <row r="11" spans="1:6" x14ac:dyDescent="0.3">
      <c r="A11" s="3" t="s">
        <v>55</v>
      </c>
      <c r="B11" s="1" t="s">
        <v>515</v>
      </c>
      <c r="C11" s="1" t="s">
        <v>516</v>
      </c>
      <c r="D11" s="1" t="s">
        <v>495</v>
      </c>
      <c r="E11" s="1" t="s">
        <v>502</v>
      </c>
      <c r="F11" s="4">
        <v>4.0999999999999996</v>
      </c>
    </row>
    <row r="12" spans="1:6" x14ac:dyDescent="0.3">
      <c r="A12" s="3" t="s">
        <v>59</v>
      </c>
      <c r="B12" s="1" t="s">
        <v>517</v>
      </c>
      <c r="C12" s="1" t="s">
        <v>518</v>
      </c>
      <c r="D12" s="1" t="s">
        <v>491</v>
      </c>
      <c r="E12" s="1" t="s">
        <v>505</v>
      </c>
      <c r="F12" s="4">
        <v>4.4000000000000004</v>
      </c>
    </row>
    <row r="13" spans="1:6" x14ac:dyDescent="0.3">
      <c r="A13" s="3" t="s">
        <v>62</v>
      </c>
      <c r="B13" s="1" t="s">
        <v>519</v>
      </c>
      <c r="C13" s="1" t="s">
        <v>501</v>
      </c>
      <c r="D13" s="1" t="s">
        <v>495</v>
      </c>
      <c r="E13" s="1" t="s">
        <v>496</v>
      </c>
      <c r="F13" s="4">
        <v>4</v>
      </c>
    </row>
    <row r="14" spans="1:6" x14ac:dyDescent="0.3">
      <c r="A14" s="3" t="s">
        <v>65</v>
      </c>
      <c r="B14" s="1" t="s">
        <v>520</v>
      </c>
      <c r="C14" s="1" t="s">
        <v>521</v>
      </c>
      <c r="D14" s="1" t="s">
        <v>491</v>
      </c>
      <c r="E14" s="1" t="s">
        <v>492</v>
      </c>
      <c r="F14" s="4">
        <v>4.5999999999999996</v>
      </c>
    </row>
    <row r="15" spans="1:6" x14ac:dyDescent="0.3">
      <c r="A15" s="3" t="s">
        <v>69</v>
      </c>
      <c r="B15" s="1" t="s">
        <v>522</v>
      </c>
      <c r="C15" s="1" t="s">
        <v>516</v>
      </c>
      <c r="D15" s="1" t="s">
        <v>495</v>
      </c>
      <c r="E15" s="1" t="s">
        <v>499</v>
      </c>
      <c r="F15" s="4">
        <v>4.2</v>
      </c>
    </row>
    <row r="16" spans="1:6" x14ac:dyDescent="0.3">
      <c r="A16" s="3" t="s">
        <v>73</v>
      </c>
      <c r="B16" s="1" t="s">
        <v>523</v>
      </c>
      <c r="C16" s="1" t="s">
        <v>504</v>
      </c>
      <c r="D16" s="1" t="s">
        <v>491</v>
      </c>
      <c r="E16" s="1" t="s">
        <v>502</v>
      </c>
      <c r="F16" s="4">
        <v>4.5</v>
      </c>
    </row>
    <row r="17" spans="1:6" x14ac:dyDescent="0.3">
      <c r="A17" s="3" t="s">
        <v>78</v>
      </c>
      <c r="B17" s="1" t="s">
        <v>524</v>
      </c>
      <c r="C17" s="1" t="s">
        <v>494</v>
      </c>
      <c r="D17" s="1" t="s">
        <v>511</v>
      </c>
      <c r="E17" s="1" t="s">
        <v>496</v>
      </c>
      <c r="F17" s="4">
        <v>4.0999999999999996</v>
      </c>
    </row>
    <row r="18" spans="1:6" x14ac:dyDescent="0.3">
      <c r="A18" s="3" t="s">
        <v>82</v>
      </c>
      <c r="B18" s="1" t="s">
        <v>525</v>
      </c>
      <c r="C18" s="1" t="s">
        <v>526</v>
      </c>
      <c r="D18" s="1" t="s">
        <v>495</v>
      </c>
      <c r="E18" s="1" t="s">
        <v>505</v>
      </c>
      <c r="F18" s="4">
        <v>4.3</v>
      </c>
    </row>
    <row r="19" spans="1:6" x14ac:dyDescent="0.3">
      <c r="A19" s="3" t="s">
        <v>86</v>
      </c>
      <c r="B19" s="1" t="s">
        <v>527</v>
      </c>
      <c r="C19" s="1" t="s">
        <v>528</v>
      </c>
      <c r="D19" s="1" t="s">
        <v>491</v>
      </c>
      <c r="E19" s="1" t="s">
        <v>492</v>
      </c>
      <c r="F19" s="4">
        <v>4.4000000000000004</v>
      </c>
    </row>
    <row r="20" spans="1:6" x14ac:dyDescent="0.3">
      <c r="A20" s="3" t="s">
        <v>90</v>
      </c>
      <c r="B20" s="1" t="s">
        <v>529</v>
      </c>
      <c r="C20" s="1" t="s">
        <v>498</v>
      </c>
      <c r="D20" s="1" t="s">
        <v>508</v>
      </c>
      <c r="E20" s="1" t="s">
        <v>499</v>
      </c>
      <c r="F20" s="4">
        <v>4.3</v>
      </c>
    </row>
    <row r="21" spans="1:6" x14ac:dyDescent="0.3">
      <c r="A21" s="8" t="s">
        <v>94</v>
      </c>
      <c r="B21" s="9" t="s">
        <v>530</v>
      </c>
      <c r="C21" s="9" t="s">
        <v>521</v>
      </c>
      <c r="D21" s="9" t="s">
        <v>508</v>
      </c>
      <c r="E21" s="9" t="s">
        <v>502</v>
      </c>
      <c r="F21" s="10">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3B9FD-AB28-44F2-B982-0E9CA8B20883}">
  <dimension ref="A1:N201"/>
  <sheetViews>
    <sheetView zoomScaleNormal="100" workbookViewId="0">
      <selection sqref="A1:N201"/>
    </sheetView>
  </sheetViews>
  <sheetFormatPr defaultRowHeight="14.4" x14ac:dyDescent="0.3"/>
  <cols>
    <col min="1" max="1" width="12.44140625" bestFit="1" customWidth="1"/>
    <col min="2" max="2" width="14.33203125" customWidth="1"/>
    <col min="3" max="3" width="16.77734375" customWidth="1"/>
    <col min="4" max="4" width="20.109375" bestFit="1" customWidth="1"/>
    <col min="5" max="5" width="16.5546875" customWidth="1"/>
    <col min="6" max="6" width="18.44140625" style="14" customWidth="1"/>
    <col min="7" max="7" width="15.44140625" style="14" customWidth="1"/>
    <col min="8" max="8" width="16.109375" style="14" bestFit="1" customWidth="1"/>
    <col min="9" max="9" width="19" bestFit="1" customWidth="1"/>
    <col min="10" max="10" width="19.33203125" customWidth="1"/>
    <col min="11" max="11" width="16.5546875" customWidth="1"/>
    <col min="12" max="12" width="17.6640625" bestFit="1" customWidth="1"/>
    <col min="13" max="13" width="15.88671875" bestFit="1" customWidth="1"/>
    <col min="14" max="14" width="10.77734375" bestFit="1" customWidth="1"/>
  </cols>
  <sheetData>
    <row r="1" spans="1:14" x14ac:dyDescent="0.3">
      <c r="A1" s="5" t="s">
        <v>0</v>
      </c>
      <c r="B1" s="6" t="s">
        <v>1</v>
      </c>
      <c r="C1" s="6" t="s">
        <v>2</v>
      </c>
      <c r="D1" s="6" t="s">
        <v>484</v>
      </c>
      <c r="E1" s="6" t="s">
        <v>3</v>
      </c>
      <c r="F1" s="11" t="s">
        <v>4</v>
      </c>
      <c r="G1" s="11" t="s">
        <v>5</v>
      </c>
      <c r="H1" s="11" t="s">
        <v>533</v>
      </c>
      <c r="I1" s="6" t="s">
        <v>6</v>
      </c>
      <c r="J1" s="6" t="s">
        <v>7</v>
      </c>
      <c r="K1" s="6" t="s">
        <v>8</v>
      </c>
      <c r="L1" s="6" t="s">
        <v>9</v>
      </c>
      <c r="M1" s="6" t="s">
        <v>10</v>
      </c>
      <c r="N1" s="7" t="s">
        <v>11</v>
      </c>
    </row>
    <row r="2" spans="1:14" x14ac:dyDescent="0.3">
      <c r="A2" s="3" t="s">
        <v>12</v>
      </c>
      <c r="B2" s="1" t="s">
        <v>13</v>
      </c>
      <c r="C2" s="1" t="s">
        <v>14</v>
      </c>
      <c r="D2" s="1" t="str">
        <f>_xlfn.XLOOKUP(Table14[[#This Row],[Restaurant ID]],Table2[Restaurant ID],Table2[Restaurant Name2],"Not Found",0)</f>
        <v>Spice Villa</v>
      </c>
      <c r="E2" s="1" t="s">
        <v>15</v>
      </c>
      <c r="F2" s="12">
        <v>46235</v>
      </c>
      <c r="G2" s="12">
        <v>46235</v>
      </c>
      <c r="H2" s="12" t="str">
        <f>TEXT(Table14[[#This Row],[Delivery Date]],"dddd")</f>
        <v>Saturday</v>
      </c>
      <c r="I2" s="1" t="s">
        <v>16</v>
      </c>
      <c r="J2" s="1">
        <v>32</v>
      </c>
      <c r="K2" s="1">
        <v>40</v>
      </c>
      <c r="L2" s="1">
        <v>450</v>
      </c>
      <c r="M2" s="1" t="s">
        <v>17</v>
      </c>
      <c r="N2" s="4">
        <v>4.5</v>
      </c>
    </row>
    <row r="3" spans="1:14" x14ac:dyDescent="0.3">
      <c r="A3" s="3" t="s">
        <v>18</v>
      </c>
      <c r="B3" s="1" t="s">
        <v>19</v>
      </c>
      <c r="C3" s="1" t="s">
        <v>20</v>
      </c>
      <c r="D3" s="1" t="str">
        <f>_xlfn.XLOOKUP(Table14[[#This Row],[Restaurant ID]],Table2[Restaurant ID],Table2[Restaurant Name2],"Not Found",0)</f>
        <v>Pizza Hub</v>
      </c>
      <c r="E3" s="1" t="s">
        <v>21</v>
      </c>
      <c r="F3" s="12">
        <v>46236</v>
      </c>
      <c r="G3" s="12">
        <v>46236</v>
      </c>
      <c r="H3" s="12" t="str">
        <f>TEXT(Table14[[#This Row],[Delivery Date]],"dddd")</f>
        <v>Sunday</v>
      </c>
      <c r="I3" s="1" t="s">
        <v>22</v>
      </c>
      <c r="J3" s="1">
        <v>28</v>
      </c>
      <c r="K3" s="1">
        <v>35</v>
      </c>
      <c r="L3" s="1">
        <v>620</v>
      </c>
      <c r="M3" s="1" t="s">
        <v>17</v>
      </c>
      <c r="N3" s="4">
        <v>4</v>
      </c>
    </row>
    <row r="4" spans="1:14" x14ac:dyDescent="0.3">
      <c r="A4" s="3" t="s">
        <v>23</v>
      </c>
      <c r="B4" s="1" t="s">
        <v>24</v>
      </c>
      <c r="C4" s="1" t="s">
        <v>25</v>
      </c>
      <c r="D4" s="1" t="str">
        <f>_xlfn.XLOOKUP(Table14[[#This Row],[Restaurant ID]],Table2[Restaurant ID],Table2[Restaurant Name2],"Not Found",0)</f>
        <v>Tandoori House</v>
      </c>
      <c r="E4" s="1" t="s">
        <v>26</v>
      </c>
      <c r="F4" s="12">
        <v>46237</v>
      </c>
      <c r="G4" s="12">
        <v>46237</v>
      </c>
      <c r="H4" s="12" t="str">
        <f>TEXT(Table14[[#This Row],[Delivery Date]],"dddd")</f>
        <v>Monday</v>
      </c>
      <c r="I4" s="1" t="s">
        <v>27</v>
      </c>
      <c r="J4" s="1">
        <v>41</v>
      </c>
      <c r="K4" s="1">
        <v>45</v>
      </c>
      <c r="L4" s="1">
        <v>780</v>
      </c>
      <c r="M4" s="1" t="s">
        <v>17</v>
      </c>
      <c r="N4" s="4">
        <v>4.5</v>
      </c>
    </row>
    <row r="5" spans="1:14" x14ac:dyDescent="0.3">
      <c r="A5" s="3" t="s">
        <v>28</v>
      </c>
      <c r="B5" s="1" t="s">
        <v>29</v>
      </c>
      <c r="C5" s="1" t="s">
        <v>30</v>
      </c>
      <c r="D5" s="1" t="str">
        <f>_xlfn.XLOOKUP(Table14[[#This Row],[Restaurant ID]],Table2[Restaurant ID],Table2[Restaurant Name2],"Not Found",0)</f>
        <v>Burger Point</v>
      </c>
      <c r="E5" s="1" t="s">
        <v>31</v>
      </c>
      <c r="F5" s="12">
        <v>46238</v>
      </c>
      <c r="G5" s="12">
        <v>46238</v>
      </c>
      <c r="H5" s="12" t="str">
        <f>TEXT(Table14[[#This Row],[Delivery Date]],"dddd")</f>
        <v>Tuesday</v>
      </c>
      <c r="I5" s="1" t="s">
        <v>32</v>
      </c>
      <c r="J5" s="1">
        <v>25</v>
      </c>
      <c r="K5" s="1">
        <v>30</v>
      </c>
      <c r="L5" s="1">
        <v>350</v>
      </c>
      <c r="M5" s="1" t="s">
        <v>17</v>
      </c>
      <c r="N5" s="4">
        <v>5</v>
      </c>
    </row>
    <row r="6" spans="1:14" x14ac:dyDescent="0.3">
      <c r="A6" s="3" t="s">
        <v>33</v>
      </c>
      <c r="B6" s="1" t="s">
        <v>34</v>
      </c>
      <c r="C6" s="1" t="s">
        <v>35</v>
      </c>
      <c r="D6" s="1" t="str">
        <f>_xlfn.XLOOKUP(Table14[[#This Row],[Restaurant ID]],Table2[Restaurant ID],Table2[Restaurant Name2],"Not Found",0)</f>
        <v>Dosa Corner</v>
      </c>
      <c r="E6" s="1" t="s">
        <v>36</v>
      </c>
      <c r="F6" s="12">
        <v>46239</v>
      </c>
      <c r="G6" s="12">
        <v>46239</v>
      </c>
      <c r="H6" s="12" t="str">
        <f>TEXT(Table14[[#This Row],[Delivery Date]],"dddd")</f>
        <v>Wednesday</v>
      </c>
      <c r="I6" s="1" t="s">
        <v>37</v>
      </c>
      <c r="J6" s="1">
        <v>36</v>
      </c>
      <c r="K6" s="1">
        <v>50</v>
      </c>
      <c r="L6" s="1">
        <v>890</v>
      </c>
      <c r="M6" s="1" t="s">
        <v>17</v>
      </c>
      <c r="N6" s="4">
        <v>4</v>
      </c>
    </row>
    <row r="7" spans="1:14" x14ac:dyDescent="0.3">
      <c r="A7" s="3" t="s">
        <v>38</v>
      </c>
      <c r="B7" s="1" t="s">
        <v>39</v>
      </c>
      <c r="C7" s="1" t="s">
        <v>40</v>
      </c>
      <c r="D7" s="1" t="str">
        <f>_xlfn.XLOOKUP(Table14[[#This Row],[Restaurant ID]],Table2[Restaurant ID],Table2[Restaurant Name2],"Not Found",0)</f>
        <v>Biryani Express</v>
      </c>
      <c r="E7" s="1" t="s">
        <v>41</v>
      </c>
      <c r="F7" s="12">
        <v>46240</v>
      </c>
      <c r="G7" s="12">
        <v>46240</v>
      </c>
      <c r="H7" s="12" t="str">
        <f>TEXT(Table14[[#This Row],[Delivery Date]],"dddd")</f>
        <v>Thursday</v>
      </c>
      <c r="I7" s="1" t="s">
        <v>42</v>
      </c>
      <c r="J7" s="1">
        <v>44</v>
      </c>
      <c r="K7" s="1">
        <v>60</v>
      </c>
      <c r="L7" s="1">
        <v>720</v>
      </c>
      <c r="M7" s="1" t="s">
        <v>17</v>
      </c>
      <c r="N7" s="4">
        <v>3.5</v>
      </c>
    </row>
    <row r="8" spans="1:14" x14ac:dyDescent="0.3">
      <c r="A8" s="3" t="s">
        <v>43</v>
      </c>
      <c r="B8" s="1" t="s">
        <v>44</v>
      </c>
      <c r="C8" s="1" t="s">
        <v>45</v>
      </c>
      <c r="D8" s="1" t="str">
        <f>_xlfn.XLOOKUP(Table14[[#This Row],[Restaurant ID]],Table2[Restaurant ID],Table2[Restaurant Name2],"Not Found",0)</f>
        <v>Green Leaf</v>
      </c>
      <c r="E8" s="1" t="s">
        <v>15</v>
      </c>
      <c r="F8" s="12">
        <v>46241</v>
      </c>
      <c r="G8" s="12">
        <v>46241</v>
      </c>
      <c r="H8" s="12" t="str">
        <f>TEXT(Table14[[#This Row],[Delivery Date]],"dddd")</f>
        <v>Friday</v>
      </c>
      <c r="I8" s="1" t="s">
        <v>46</v>
      </c>
      <c r="J8" s="1">
        <v>29</v>
      </c>
      <c r="K8" s="1">
        <v>35</v>
      </c>
      <c r="L8" s="1">
        <v>510</v>
      </c>
      <c r="M8" s="1" t="s">
        <v>17</v>
      </c>
      <c r="N8" s="4">
        <v>4.5</v>
      </c>
    </row>
    <row r="9" spans="1:14" x14ac:dyDescent="0.3">
      <c r="A9" s="3" t="s">
        <v>47</v>
      </c>
      <c r="B9" s="1" t="s">
        <v>48</v>
      </c>
      <c r="C9" s="1" t="s">
        <v>49</v>
      </c>
      <c r="D9" s="1" t="str">
        <f>_xlfn.XLOOKUP(Table14[[#This Row],[Restaurant ID]],Table2[Restaurant ID],Table2[Restaurant Name2],"Not Found",0)</f>
        <v>Cafe Aroma</v>
      </c>
      <c r="E9" s="1" t="s">
        <v>21</v>
      </c>
      <c r="F9" s="12">
        <v>46242</v>
      </c>
      <c r="G9" s="12">
        <v>46242</v>
      </c>
      <c r="H9" s="12" t="str">
        <f>TEXT(Table14[[#This Row],[Delivery Date]],"dddd")</f>
        <v>Saturday</v>
      </c>
      <c r="I9" s="1" t="s">
        <v>531</v>
      </c>
      <c r="J9" s="1">
        <v>38</v>
      </c>
      <c r="K9" s="1">
        <v>45</v>
      </c>
      <c r="L9" s="1">
        <v>430</v>
      </c>
      <c r="M9" s="1" t="s">
        <v>17</v>
      </c>
      <c r="N9" s="4">
        <v>4</v>
      </c>
    </row>
    <row r="10" spans="1:14" x14ac:dyDescent="0.3">
      <c r="A10" s="3" t="s">
        <v>50</v>
      </c>
      <c r="B10" s="1" t="s">
        <v>51</v>
      </c>
      <c r="C10" s="1" t="s">
        <v>52</v>
      </c>
      <c r="D10" s="1" t="str">
        <f>_xlfn.XLOOKUP(Table14[[#This Row],[Restaurant ID]],Table2[Restaurant ID],Table2[Restaurant Name2],"Not Found",0)</f>
        <v>Royal Thali</v>
      </c>
      <c r="E10" s="1" t="s">
        <v>26</v>
      </c>
      <c r="F10" s="12">
        <v>46243</v>
      </c>
      <c r="G10" s="12">
        <v>46243</v>
      </c>
      <c r="H10" s="12" t="str">
        <f>TEXT(Table14[[#This Row],[Delivery Date]],"dddd")</f>
        <v>Sunday</v>
      </c>
      <c r="I10" s="1" t="s">
        <v>16</v>
      </c>
      <c r="J10" s="1">
        <v>27</v>
      </c>
      <c r="K10" s="1">
        <v>30</v>
      </c>
      <c r="L10" s="1">
        <v>680</v>
      </c>
      <c r="M10" s="1" t="s">
        <v>17</v>
      </c>
      <c r="N10" s="4">
        <v>4.5</v>
      </c>
    </row>
    <row r="11" spans="1:14" x14ac:dyDescent="0.3">
      <c r="A11" s="3" t="s">
        <v>53</v>
      </c>
      <c r="B11" s="1" t="s">
        <v>54</v>
      </c>
      <c r="C11" s="1" t="s">
        <v>55</v>
      </c>
      <c r="D11" s="1" t="str">
        <f>_xlfn.XLOOKUP(Table14[[#This Row],[Restaurant ID]],Table2[Restaurant ID],Table2[Restaurant Name2],"Not Found",0)</f>
        <v>Chinese Wok</v>
      </c>
      <c r="E11" s="1" t="s">
        <v>31</v>
      </c>
      <c r="F11" s="12">
        <v>46244</v>
      </c>
      <c r="G11" s="12">
        <v>46244</v>
      </c>
      <c r="H11" s="12" t="str">
        <f>TEXT(Table14[[#This Row],[Delivery Date]],"dddd")</f>
        <v>Monday</v>
      </c>
      <c r="I11" s="1" t="s">
        <v>56</v>
      </c>
      <c r="J11" s="1">
        <v>35</v>
      </c>
      <c r="K11" s="1">
        <v>40</v>
      </c>
      <c r="L11" s="1">
        <v>560</v>
      </c>
      <c r="M11" s="1" t="s">
        <v>17</v>
      </c>
      <c r="N11" s="4">
        <v>4</v>
      </c>
    </row>
    <row r="12" spans="1:14" x14ac:dyDescent="0.3">
      <c r="A12" s="3" t="s">
        <v>57</v>
      </c>
      <c r="B12" s="1" t="s">
        <v>58</v>
      </c>
      <c r="C12" s="1" t="s">
        <v>59</v>
      </c>
      <c r="D12" s="1" t="str">
        <f>_xlfn.XLOOKUP(Table14[[#This Row],[Restaurant ID]],Table2[Restaurant ID],Table2[Restaurant Name2],"Not Found",0)</f>
        <v>Food Junction</v>
      </c>
      <c r="E12" s="1" t="s">
        <v>36</v>
      </c>
      <c r="F12" s="12">
        <v>46245</v>
      </c>
      <c r="G12" s="12">
        <v>46245</v>
      </c>
      <c r="H12" s="12" t="str">
        <f>TEXT(Table14[[#This Row],[Delivery Date]],"dddd")</f>
        <v>Tuesday</v>
      </c>
      <c r="I12" s="1" t="s">
        <v>22</v>
      </c>
      <c r="J12" s="1">
        <v>31</v>
      </c>
      <c r="K12" s="1">
        <v>45</v>
      </c>
      <c r="L12" s="1">
        <v>950</v>
      </c>
      <c r="M12" s="1" t="s">
        <v>17</v>
      </c>
      <c r="N12" s="4">
        <v>5</v>
      </c>
    </row>
    <row r="13" spans="1:14" x14ac:dyDescent="0.3">
      <c r="A13" s="3" t="s">
        <v>60</v>
      </c>
      <c r="B13" s="1" t="s">
        <v>61</v>
      </c>
      <c r="C13" s="1" t="s">
        <v>62</v>
      </c>
      <c r="D13" s="1" t="str">
        <f>_xlfn.XLOOKUP(Table14[[#This Row],[Restaurant ID]],Table2[Restaurant ID],Table2[Restaurant Name2],"Not Found",0)</f>
        <v>Wrap House</v>
      </c>
      <c r="E13" s="1" t="s">
        <v>41</v>
      </c>
      <c r="F13" s="12">
        <v>46246</v>
      </c>
      <c r="G13" s="12">
        <v>46246</v>
      </c>
      <c r="H13" s="12" t="str">
        <f>TEXT(Table14[[#This Row],[Delivery Date]],"dddd")</f>
        <v>Wednesday</v>
      </c>
      <c r="I13" s="1" t="s">
        <v>27</v>
      </c>
      <c r="J13" s="1">
        <v>42</v>
      </c>
      <c r="K13" s="1">
        <v>55</v>
      </c>
      <c r="L13" s="1">
        <v>390</v>
      </c>
      <c r="M13" s="1" t="s">
        <v>17</v>
      </c>
      <c r="N13" s="4">
        <v>3.5</v>
      </c>
    </row>
    <row r="14" spans="1:14" x14ac:dyDescent="0.3">
      <c r="A14" s="3" t="s">
        <v>63</v>
      </c>
      <c r="B14" s="1" t="s">
        <v>64</v>
      </c>
      <c r="C14" s="1" t="s">
        <v>65</v>
      </c>
      <c r="D14" s="1" t="str">
        <f>_xlfn.XLOOKUP(Table14[[#This Row],[Restaurant ID]],Table2[Restaurant ID],Table2[Restaurant Name2],"Not Found",0)</f>
        <v>Curry Palace</v>
      </c>
      <c r="E14" s="1" t="s">
        <v>15</v>
      </c>
      <c r="F14" s="12">
        <v>46247</v>
      </c>
      <c r="G14" s="12">
        <v>46247</v>
      </c>
      <c r="H14" s="12" t="str">
        <f>TEXT(Table14[[#This Row],[Delivery Date]],"dddd")</f>
        <v>Thursday</v>
      </c>
      <c r="I14" s="1" t="s">
        <v>32</v>
      </c>
      <c r="J14" s="1">
        <v>26</v>
      </c>
      <c r="K14" s="1">
        <v>30</v>
      </c>
      <c r="L14" s="1">
        <v>740</v>
      </c>
      <c r="M14" s="1" t="s">
        <v>17</v>
      </c>
      <c r="N14" s="4">
        <v>4.5</v>
      </c>
    </row>
    <row r="15" spans="1:14" x14ac:dyDescent="0.3">
      <c r="A15" s="3" t="s">
        <v>67</v>
      </c>
      <c r="B15" s="1" t="s">
        <v>68</v>
      </c>
      <c r="C15" s="1" t="s">
        <v>69</v>
      </c>
      <c r="D15" s="1" t="str">
        <f>_xlfn.XLOOKUP(Table14[[#This Row],[Restaurant ID]],Table2[Restaurant ID],Table2[Restaurant Name2],"Not Found",0)</f>
        <v>Momos Magic</v>
      </c>
      <c r="E15" s="1" t="s">
        <v>21</v>
      </c>
      <c r="F15" s="12">
        <v>46248</v>
      </c>
      <c r="G15" s="12">
        <v>46248</v>
      </c>
      <c r="H15" s="12" t="str">
        <f>TEXT(Table14[[#This Row],[Delivery Date]],"dddd")</f>
        <v>Friday</v>
      </c>
      <c r="I15" s="1" t="s">
        <v>37</v>
      </c>
      <c r="J15" s="1">
        <v>34</v>
      </c>
      <c r="K15" s="1">
        <v>40</v>
      </c>
      <c r="L15" s="1">
        <v>480</v>
      </c>
      <c r="M15" s="1" t="s">
        <v>17</v>
      </c>
      <c r="N15" s="4">
        <v>4</v>
      </c>
    </row>
    <row r="16" spans="1:14" x14ac:dyDescent="0.3">
      <c r="A16" s="3" t="s">
        <v>71</v>
      </c>
      <c r="B16" s="1" t="s">
        <v>72</v>
      </c>
      <c r="C16" s="1" t="s">
        <v>73</v>
      </c>
      <c r="D16" s="1" t="str">
        <f>_xlfn.XLOOKUP(Table14[[#This Row],[Restaurant ID]],Table2[Restaurant ID],Table2[Restaurant Name2],"Not Found",0)</f>
        <v>South Spice</v>
      </c>
      <c r="E16" s="1" t="s">
        <v>26</v>
      </c>
      <c r="F16" s="12">
        <v>46249</v>
      </c>
      <c r="G16" s="12">
        <v>46249</v>
      </c>
      <c r="H16" s="12" t="str">
        <f>TEXT(Table14[[#This Row],[Delivery Date]],"dddd")</f>
        <v>Saturday</v>
      </c>
      <c r="I16" s="1" t="s">
        <v>531</v>
      </c>
      <c r="J16" s="1">
        <v>47</v>
      </c>
      <c r="K16" s="1">
        <v>65</v>
      </c>
      <c r="L16" s="1">
        <v>830</v>
      </c>
      <c r="M16" s="1" t="s">
        <v>75</v>
      </c>
      <c r="N16" s="4">
        <v>3</v>
      </c>
    </row>
    <row r="17" spans="1:14" x14ac:dyDescent="0.3">
      <c r="A17" s="3" t="s">
        <v>76</v>
      </c>
      <c r="B17" s="1" t="s">
        <v>77</v>
      </c>
      <c r="C17" s="1" t="s">
        <v>78</v>
      </c>
      <c r="D17" s="1" t="str">
        <f>_xlfn.XLOOKUP(Table14[[#This Row],[Restaurant ID]],Table2[Restaurant ID],Table2[Restaurant Name2],"Not Found",0)</f>
        <v>Pasta Street</v>
      </c>
      <c r="E17" s="1" t="s">
        <v>31</v>
      </c>
      <c r="F17" s="12">
        <v>46250</v>
      </c>
      <c r="G17" s="12">
        <v>46250</v>
      </c>
      <c r="H17" s="12" t="str">
        <f>TEXT(Table14[[#This Row],[Delivery Date]],"dddd")</f>
        <v>Sunday</v>
      </c>
      <c r="I17" s="1" t="s">
        <v>42</v>
      </c>
      <c r="J17" s="1">
        <v>30</v>
      </c>
      <c r="K17" s="1">
        <v>35</v>
      </c>
      <c r="L17" s="1">
        <v>590</v>
      </c>
      <c r="M17" s="1" t="s">
        <v>17</v>
      </c>
      <c r="N17" s="4">
        <v>4.5</v>
      </c>
    </row>
    <row r="18" spans="1:14" x14ac:dyDescent="0.3">
      <c r="A18" s="3" t="s">
        <v>80</v>
      </c>
      <c r="B18" s="1" t="s">
        <v>81</v>
      </c>
      <c r="C18" s="1" t="s">
        <v>82</v>
      </c>
      <c r="D18" s="1" t="str">
        <f>_xlfn.XLOOKUP(Table14[[#This Row],[Restaurant ID]],Table2[Restaurant ID],Table2[Restaurant Name2],"Not Found",0)</f>
        <v>Chaat Corner</v>
      </c>
      <c r="E18" s="1" t="s">
        <v>36</v>
      </c>
      <c r="F18" s="12">
        <v>46251</v>
      </c>
      <c r="G18" s="12">
        <v>46251</v>
      </c>
      <c r="H18" s="12" t="str">
        <f>TEXT(Table14[[#This Row],[Delivery Date]],"dddd")</f>
        <v>Monday</v>
      </c>
      <c r="I18" s="1" t="s">
        <v>46</v>
      </c>
      <c r="J18" s="1">
        <v>24</v>
      </c>
      <c r="K18" s="1">
        <v>30</v>
      </c>
      <c r="L18" s="1">
        <v>320</v>
      </c>
      <c r="M18" s="1" t="s">
        <v>17</v>
      </c>
      <c r="N18" s="4">
        <v>5</v>
      </c>
    </row>
    <row r="19" spans="1:14" x14ac:dyDescent="0.3">
      <c r="A19" s="3" t="s">
        <v>84</v>
      </c>
      <c r="B19" s="1" t="s">
        <v>85</v>
      </c>
      <c r="C19" s="1" t="s">
        <v>86</v>
      </c>
      <c r="D19" s="1" t="str">
        <f>_xlfn.XLOOKUP(Table14[[#This Row],[Restaurant ID]],Table2[Restaurant ID],Table2[Restaurant Name2],"Not Found",0)</f>
        <v>Grill Nation</v>
      </c>
      <c r="E19" s="1" t="s">
        <v>41</v>
      </c>
      <c r="F19" s="12">
        <v>46252</v>
      </c>
      <c r="G19" s="12">
        <v>46252</v>
      </c>
      <c r="H19" s="12" t="str">
        <f>TEXT(Table14[[#This Row],[Delivery Date]],"dddd")</f>
        <v>Tuesday</v>
      </c>
      <c r="I19" s="1" t="s">
        <v>16</v>
      </c>
      <c r="J19" s="1">
        <v>39</v>
      </c>
      <c r="K19" s="1">
        <v>50</v>
      </c>
      <c r="L19" s="1">
        <v>910</v>
      </c>
      <c r="M19" s="1" t="s">
        <v>17</v>
      </c>
      <c r="N19" s="4">
        <v>4</v>
      </c>
    </row>
    <row r="20" spans="1:14" x14ac:dyDescent="0.3">
      <c r="A20" s="3" t="s">
        <v>88</v>
      </c>
      <c r="B20" s="1" t="s">
        <v>89</v>
      </c>
      <c r="C20" s="1" t="s">
        <v>90</v>
      </c>
      <c r="D20" s="1" t="str">
        <f>_xlfn.XLOOKUP(Table14[[#This Row],[Restaurant ID]],Table2[Restaurant ID],Table2[Restaurant Name2],"Not Found",0)</f>
        <v>Kebab Kitchen</v>
      </c>
      <c r="E20" s="1" t="s">
        <v>15</v>
      </c>
      <c r="F20" s="12">
        <v>46253</v>
      </c>
      <c r="G20" s="12">
        <v>46253</v>
      </c>
      <c r="H20" s="12" t="str">
        <f>TEXT(Table14[[#This Row],[Delivery Date]],"dddd")</f>
        <v>Wednesday</v>
      </c>
      <c r="I20" s="1" t="s">
        <v>22</v>
      </c>
      <c r="J20" s="1">
        <v>33</v>
      </c>
      <c r="K20" s="1">
        <v>40</v>
      </c>
      <c r="L20" s="1">
        <v>670</v>
      </c>
      <c r="M20" s="1" t="s">
        <v>17</v>
      </c>
      <c r="N20" s="4">
        <v>4.5</v>
      </c>
    </row>
    <row r="21" spans="1:14" x14ac:dyDescent="0.3">
      <c r="A21" s="3" t="s">
        <v>92</v>
      </c>
      <c r="B21" s="1" t="s">
        <v>93</v>
      </c>
      <c r="C21" s="1" t="s">
        <v>94</v>
      </c>
      <c r="D21" s="1" t="str">
        <f>_xlfn.XLOOKUP(Table14[[#This Row],[Restaurant ID]],Table2[Restaurant ID],Table2[Restaurant Name2],"Not Found",0)</f>
        <v>Urban Tiffin</v>
      </c>
      <c r="E21" s="1" t="s">
        <v>21</v>
      </c>
      <c r="F21" s="12">
        <v>46254</v>
      </c>
      <c r="G21" s="12">
        <v>46254</v>
      </c>
      <c r="H21" s="12" t="str">
        <f>TEXT(Table14[[#This Row],[Delivery Date]],"dddd")</f>
        <v>Thursday</v>
      </c>
      <c r="I21" s="1" t="s">
        <v>27</v>
      </c>
      <c r="J21" s="1">
        <v>45</v>
      </c>
      <c r="K21" s="1">
        <v>60</v>
      </c>
      <c r="L21" s="1">
        <v>540</v>
      </c>
      <c r="M21" s="1" t="s">
        <v>17</v>
      </c>
      <c r="N21" s="4">
        <v>3.5</v>
      </c>
    </row>
    <row r="22" spans="1:14" x14ac:dyDescent="0.3">
      <c r="A22" s="3" t="s">
        <v>96</v>
      </c>
      <c r="B22" s="1" t="s">
        <v>97</v>
      </c>
      <c r="C22" s="1" t="s">
        <v>14</v>
      </c>
      <c r="D22" s="1" t="str">
        <f>_xlfn.XLOOKUP(Table14[[#This Row],[Restaurant ID]],Table2[Restaurant ID],Table2[Restaurant Name2],"Not Found",0)</f>
        <v>Spice Villa</v>
      </c>
      <c r="E22" s="1" t="s">
        <v>26</v>
      </c>
      <c r="F22" s="12">
        <v>46255</v>
      </c>
      <c r="G22" s="12">
        <v>46255</v>
      </c>
      <c r="H22" s="12" t="str">
        <f>TEXT(Table14[[#This Row],[Delivery Date]],"dddd")</f>
        <v>Friday</v>
      </c>
      <c r="I22" s="1" t="s">
        <v>32</v>
      </c>
      <c r="J22" s="1">
        <v>29</v>
      </c>
      <c r="K22" s="1">
        <v>35</v>
      </c>
      <c r="L22" s="1">
        <v>460</v>
      </c>
      <c r="M22" s="1" t="s">
        <v>17</v>
      </c>
      <c r="N22" s="4">
        <v>4</v>
      </c>
    </row>
    <row r="23" spans="1:14" x14ac:dyDescent="0.3">
      <c r="A23" s="3" t="s">
        <v>99</v>
      </c>
      <c r="B23" s="1" t="s">
        <v>100</v>
      </c>
      <c r="C23" s="1" t="s">
        <v>20</v>
      </c>
      <c r="D23" s="1" t="str">
        <f>_xlfn.XLOOKUP(Table14[[#This Row],[Restaurant ID]],Table2[Restaurant ID],Table2[Restaurant Name2],"Not Found",0)</f>
        <v>Pizza Hub</v>
      </c>
      <c r="E23" s="1" t="s">
        <v>31</v>
      </c>
      <c r="F23" s="12">
        <v>46256</v>
      </c>
      <c r="G23" s="12">
        <v>46256</v>
      </c>
      <c r="H23" s="12" t="str">
        <f>TEXT(Table14[[#This Row],[Delivery Date]],"dddd")</f>
        <v>Saturday</v>
      </c>
      <c r="I23" s="1" t="s">
        <v>37</v>
      </c>
      <c r="J23" s="1">
        <v>37</v>
      </c>
      <c r="K23" s="1">
        <v>45</v>
      </c>
      <c r="L23" s="1">
        <v>710</v>
      </c>
      <c r="M23" s="1" t="s">
        <v>17</v>
      </c>
      <c r="N23" s="4">
        <v>4.5</v>
      </c>
    </row>
    <row r="24" spans="1:14" x14ac:dyDescent="0.3">
      <c r="A24" s="3" t="s">
        <v>102</v>
      </c>
      <c r="B24" s="1" t="s">
        <v>103</v>
      </c>
      <c r="C24" s="1" t="s">
        <v>25</v>
      </c>
      <c r="D24" s="1" t="str">
        <f>_xlfn.XLOOKUP(Table14[[#This Row],[Restaurant ID]],Table2[Restaurant ID],Table2[Restaurant Name2],"Not Found",0)</f>
        <v>Tandoori House</v>
      </c>
      <c r="E24" s="1" t="s">
        <v>36</v>
      </c>
      <c r="F24" s="12">
        <v>46257</v>
      </c>
      <c r="G24" s="12">
        <v>46257</v>
      </c>
      <c r="H24" s="12" t="str">
        <f>TEXT(Table14[[#This Row],[Delivery Date]],"dddd")</f>
        <v>Sunday</v>
      </c>
      <c r="I24" s="1" t="s">
        <v>531</v>
      </c>
      <c r="J24" s="1">
        <v>43</v>
      </c>
      <c r="K24" s="1">
        <v>60</v>
      </c>
      <c r="L24" s="1">
        <v>850</v>
      </c>
      <c r="M24" s="1" t="s">
        <v>75</v>
      </c>
      <c r="N24" s="4">
        <v>3</v>
      </c>
    </row>
    <row r="25" spans="1:14" x14ac:dyDescent="0.3">
      <c r="A25" s="3" t="s">
        <v>105</v>
      </c>
      <c r="B25" s="1" t="s">
        <v>106</v>
      </c>
      <c r="C25" s="1" t="s">
        <v>30</v>
      </c>
      <c r="D25" s="1" t="str">
        <f>_xlfn.XLOOKUP(Table14[[#This Row],[Restaurant ID]],Table2[Restaurant ID],Table2[Restaurant Name2],"Not Found",0)</f>
        <v>Burger Point</v>
      </c>
      <c r="E25" s="1" t="s">
        <v>41</v>
      </c>
      <c r="F25" s="12">
        <v>46258</v>
      </c>
      <c r="G25" s="12">
        <v>46258</v>
      </c>
      <c r="H25" s="12" t="str">
        <f>TEXT(Table14[[#This Row],[Delivery Date]],"dddd")</f>
        <v>Monday</v>
      </c>
      <c r="I25" s="1" t="s">
        <v>42</v>
      </c>
      <c r="J25" s="1">
        <v>28</v>
      </c>
      <c r="K25" s="1">
        <v>35</v>
      </c>
      <c r="L25" s="1">
        <v>370</v>
      </c>
      <c r="M25" s="1" t="s">
        <v>17</v>
      </c>
      <c r="N25" s="4">
        <v>4</v>
      </c>
    </row>
    <row r="26" spans="1:14" x14ac:dyDescent="0.3">
      <c r="A26" s="3" t="s">
        <v>108</v>
      </c>
      <c r="B26" s="1" t="s">
        <v>109</v>
      </c>
      <c r="C26" s="1" t="s">
        <v>35</v>
      </c>
      <c r="D26" s="1" t="str">
        <f>_xlfn.XLOOKUP(Table14[[#This Row],[Restaurant ID]],Table2[Restaurant ID],Table2[Restaurant Name2],"Not Found",0)</f>
        <v>Dosa Corner</v>
      </c>
      <c r="E26" s="1" t="s">
        <v>15</v>
      </c>
      <c r="F26" s="12">
        <v>46259</v>
      </c>
      <c r="G26" s="12">
        <v>46259</v>
      </c>
      <c r="H26" s="12" t="str">
        <f>TEXT(Table14[[#This Row],[Delivery Date]],"dddd")</f>
        <v>Tuesday</v>
      </c>
      <c r="I26" s="1" t="s">
        <v>46</v>
      </c>
      <c r="J26" s="1">
        <v>31</v>
      </c>
      <c r="K26" s="1">
        <v>40</v>
      </c>
      <c r="L26" s="1">
        <v>920</v>
      </c>
      <c r="M26" s="1" t="s">
        <v>17</v>
      </c>
      <c r="N26" s="4">
        <v>4.5</v>
      </c>
    </row>
    <row r="27" spans="1:14" x14ac:dyDescent="0.3">
      <c r="A27" s="3" t="s">
        <v>111</v>
      </c>
      <c r="B27" s="1" t="s">
        <v>112</v>
      </c>
      <c r="C27" s="1" t="s">
        <v>40</v>
      </c>
      <c r="D27" s="1" t="str">
        <f>_xlfn.XLOOKUP(Table14[[#This Row],[Restaurant ID]],Table2[Restaurant ID],Table2[Restaurant Name2],"Not Found",0)</f>
        <v>Biryani Express</v>
      </c>
      <c r="E27" s="1" t="s">
        <v>21</v>
      </c>
      <c r="F27" s="12">
        <v>46260</v>
      </c>
      <c r="G27" s="12">
        <v>46260</v>
      </c>
      <c r="H27" s="12" t="str">
        <f>TEXT(Table14[[#This Row],[Delivery Date]],"dddd")</f>
        <v>Wednesday</v>
      </c>
      <c r="I27" s="1" t="s">
        <v>16</v>
      </c>
      <c r="J27" s="1">
        <v>40</v>
      </c>
      <c r="K27" s="1">
        <v>50</v>
      </c>
      <c r="L27" s="1">
        <v>640</v>
      </c>
      <c r="M27" s="1" t="s">
        <v>17</v>
      </c>
      <c r="N27" s="4">
        <v>4</v>
      </c>
    </row>
    <row r="28" spans="1:14" x14ac:dyDescent="0.3">
      <c r="A28" s="3" t="s">
        <v>114</v>
      </c>
      <c r="B28" s="1" t="s">
        <v>115</v>
      </c>
      <c r="C28" s="1" t="s">
        <v>45</v>
      </c>
      <c r="D28" s="1" t="str">
        <f>_xlfn.XLOOKUP(Table14[[#This Row],[Restaurant ID]],Table2[Restaurant ID],Table2[Restaurant Name2],"Not Found",0)</f>
        <v>Green Leaf</v>
      </c>
      <c r="E28" s="1" t="s">
        <v>26</v>
      </c>
      <c r="F28" s="12">
        <v>46261</v>
      </c>
      <c r="G28" s="12">
        <v>46261</v>
      </c>
      <c r="H28" s="12" t="str">
        <f>TEXT(Table14[[#This Row],[Delivery Date]],"dddd")</f>
        <v>Thursday</v>
      </c>
      <c r="I28" s="1" t="s">
        <v>22</v>
      </c>
      <c r="J28" s="1">
        <v>26</v>
      </c>
      <c r="K28" s="1">
        <v>30</v>
      </c>
      <c r="L28" s="1">
        <v>510</v>
      </c>
      <c r="M28" s="1" t="s">
        <v>17</v>
      </c>
      <c r="N28" s="4">
        <v>5</v>
      </c>
    </row>
    <row r="29" spans="1:14" x14ac:dyDescent="0.3">
      <c r="A29" s="3" t="s">
        <v>117</v>
      </c>
      <c r="B29" s="1" t="s">
        <v>118</v>
      </c>
      <c r="C29" s="1" t="s">
        <v>49</v>
      </c>
      <c r="D29" s="1" t="str">
        <f>_xlfn.XLOOKUP(Table14[[#This Row],[Restaurant ID]],Table2[Restaurant ID],Table2[Restaurant Name2],"Not Found",0)</f>
        <v>Cafe Aroma</v>
      </c>
      <c r="E29" s="1" t="s">
        <v>31</v>
      </c>
      <c r="F29" s="12">
        <v>46262</v>
      </c>
      <c r="G29" s="12">
        <v>46262</v>
      </c>
      <c r="H29" s="12" t="str">
        <f>TEXT(Table14[[#This Row],[Delivery Date]],"dddd")</f>
        <v>Friday</v>
      </c>
      <c r="I29" s="1" t="s">
        <v>27</v>
      </c>
      <c r="J29" s="1">
        <v>35</v>
      </c>
      <c r="K29" s="1">
        <v>45</v>
      </c>
      <c r="L29" s="1">
        <v>430</v>
      </c>
      <c r="M29" s="1" t="s">
        <v>17</v>
      </c>
      <c r="N29" s="4">
        <v>4</v>
      </c>
    </row>
    <row r="30" spans="1:14" x14ac:dyDescent="0.3">
      <c r="A30" s="3" t="s">
        <v>120</v>
      </c>
      <c r="B30" s="1" t="s">
        <v>121</v>
      </c>
      <c r="C30" s="1" t="s">
        <v>52</v>
      </c>
      <c r="D30" s="1" t="str">
        <f>_xlfn.XLOOKUP(Table14[[#This Row],[Restaurant ID]],Table2[Restaurant ID],Table2[Restaurant Name2],"Not Found",0)</f>
        <v>Royal Thali</v>
      </c>
      <c r="E30" s="1" t="s">
        <v>36</v>
      </c>
      <c r="F30" s="12">
        <v>46263</v>
      </c>
      <c r="G30" s="12">
        <v>46263</v>
      </c>
      <c r="H30" s="12" t="str">
        <f>TEXT(Table14[[#This Row],[Delivery Date]],"dddd")</f>
        <v>Saturday</v>
      </c>
      <c r="I30" s="1" t="s">
        <v>32</v>
      </c>
      <c r="J30" s="1">
        <v>30</v>
      </c>
      <c r="K30" s="1">
        <v>40</v>
      </c>
      <c r="L30" s="1">
        <v>680</v>
      </c>
      <c r="M30" s="1" t="s">
        <v>17</v>
      </c>
      <c r="N30" s="4">
        <v>4.5</v>
      </c>
    </row>
    <row r="31" spans="1:14" x14ac:dyDescent="0.3">
      <c r="A31" s="3" t="s">
        <v>123</v>
      </c>
      <c r="B31" s="1" t="s">
        <v>124</v>
      </c>
      <c r="C31" s="1" t="s">
        <v>55</v>
      </c>
      <c r="D31" s="1" t="str">
        <f>_xlfn.XLOOKUP(Table14[[#This Row],[Restaurant ID]],Table2[Restaurant ID],Table2[Restaurant Name2],"Not Found",0)</f>
        <v>Chinese Wok</v>
      </c>
      <c r="E31" s="1" t="s">
        <v>41</v>
      </c>
      <c r="F31" s="12">
        <v>46264</v>
      </c>
      <c r="G31" s="12">
        <v>46264</v>
      </c>
      <c r="H31" s="12" t="str">
        <f>TEXT(Table14[[#This Row],[Delivery Date]],"dddd")</f>
        <v>Sunday</v>
      </c>
      <c r="I31" s="1" t="s">
        <v>37</v>
      </c>
      <c r="J31" s="1">
        <v>48</v>
      </c>
      <c r="K31" s="1">
        <v>65</v>
      </c>
      <c r="L31" s="1">
        <v>570</v>
      </c>
      <c r="M31" s="1" t="s">
        <v>75</v>
      </c>
      <c r="N31" s="4">
        <v>3.5</v>
      </c>
    </row>
    <row r="32" spans="1:14" x14ac:dyDescent="0.3">
      <c r="A32" s="3" t="s">
        <v>126</v>
      </c>
      <c r="B32" s="1" t="s">
        <v>127</v>
      </c>
      <c r="C32" s="1" t="s">
        <v>59</v>
      </c>
      <c r="D32" s="1" t="str">
        <f>_xlfn.XLOOKUP(Table14[[#This Row],[Restaurant ID]],Table2[Restaurant ID],Table2[Restaurant Name2],"Not Found",0)</f>
        <v>Food Junction</v>
      </c>
      <c r="E32" s="1" t="s">
        <v>15</v>
      </c>
      <c r="F32" s="12">
        <v>46265</v>
      </c>
      <c r="G32" s="12">
        <v>46265</v>
      </c>
      <c r="H32" s="12" t="str">
        <f>TEXT(Table14[[#This Row],[Delivery Date]],"dddd")</f>
        <v>Monday</v>
      </c>
      <c r="I32" s="1" t="s">
        <v>42</v>
      </c>
      <c r="J32" s="1">
        <v>27</v>
      </c>
      <c r="K32" s="1">
        <v>30</v>
      </c>
      <c r="L32" s="1">
        <v>960</v>
      </c>
      <c r="M32" s="1" t="s">
        <v>17</v>
      </c>
      <c r="N32" s="4">
        <v>5</v>
      </c>
    </row>
    <row r="33" spans="1:14" x14ac:dyDescent="0.3">
      <c r="A33" s="3" t="s">
        <v>129</v>
      </c>
      <c r="B33" s="1" t="s">
        <v>130</v>
      </c>
      <c r="C33" s="1" t="s">
        <v>62</v>
      </c>
      <c r="D33" s="1" t="str">
        <f>_xlfn.XLOOKUP(Table14[[#This Row],[Restaurant ID]],Table2[Restaurant ID],Table2[Restaurant Name2],"Not Found",0)</f>
        <v>Wrap House</v>
      </c>
      <c r="E33" s="1" t="s">
        <v>21</v>
      </c>
      <c r="F33" s="12">
        <v>46266</v>
      </c>
      <c r="G33" s="12">
        <v>46266</v>
      </c>
      <c r="H33" s="12" t="str">
        <f>TEXT(Table14[[#This Row],[Delivery Date]],"dddd")</f>
        <v>Tuesday</v>
      </c>
      <c r="I33" s="1" t="s">
        <v>46</v>
      </c>
      <c r="J33" s="1">
        <v>34</v>
      </c>
      <c r="K33" s="1">
        <v>40</v>
      </c>
      <c r="L33" s="1">
        <v>410</v>
      </c>
      <c r="M33" s="1" t="s">
        <v>17</v>
      </c>
      <c r="N33" s="4">
        <v>4</v>
      </c>
    </row>
    <row r="34" spans="1:14" x14ac:dyDescent="0.3">
      <c r="A34" s="3" t="s">
        <v>131</v>
      </c>
      <c r="B34" s="1" t="s">
        <v>132</v>
      </c>
      <c r="C34" s="1" t="s">
        <v>65</v>
      </c>
      <c r="D34" s="1" t="str">
        <f>_xlfn.XLOOKUP(Table14[[#This Row],[Restaurant ID]],Table2[Restaurant ID],Table2[Restaurant Name2],"Not Found",0)</f>
        <v>Curry Palace</v>
      </c>
      <c r="E34" s="1" t="s">
        <v>26</v>
      </c>
      <c r="F34" s="12">
        <v>46267</v>
      </c>
      <c r="G34" s="12">
        <v>46267</v>
      </c>
      <c r="H34" s="12" t="str">
        <f>TEXT(Table14[[#This Row],[Delivery Date]],"dddd")</f>
        <v>Wednesday</v>
      </c>
      <c r="I34" s="1" t="s">
        <v>531</v>
      </c>
      <c r="J34" s="1">
        <v>36</v>
      </c>
      <c r="K34" s="1">
        <v>45</v>
      </c>
      <c r="L34" s="1">
        <v>750</v>
      </c>
      <c r="M34" s="1" t="s">
        <v>17</v>
      </c>
      <c r="N34" s="4">
        <v>4.5</v>
      </c>
    </row>
    <row r="35" spans="1:14" x14ac:dyDescent="0.3">
      <c r="A35" s="3" t="s">
        <v>133</v>
      </c>
      <c r="B35" s="1" t="s">
        <v>134</v>
      </c>
      <c r="C35" s="1" t="s">
        <v>69</v>
      </c>
      <c r="D35" s="1" t="str">
        <f>_xlfn.XLOOKUP(Table14[[#This Row],[Restaurant ID]],Table2[Restaurant ID],Table2[Restaurant Name2],"Not Found",0)</f>
        <v>Momos Magic</v>
      </c>
      <c r="E35" s="1" t="s">
        <v>31</v>
      </c>
      <c r="F35" s="12">
        <v>46268</v>
      </c>
      <c r="G35" s="12">
        <v>46268</v>
      </c>
      <c r="H35" s="12" t="str">
        <f>TEXT(Table14[[#This Row],[Delivery Date]],"dddd")</f>
        <v>Thursday</v>
      </c>
      <c r="I35" s="1" t="s">
        <v>16</v>
      </c>
      <c r="J35" s="1">
        <v>29</v>
      </c>
      <c r="K35" s="1">
        <v>35</v>
      </c>
      <c r="L35" s="1">
        <v>490</v>
      </c>
      <c r="M35" s="1" t="s">
        <v>17</v>
      </c>
      <c r="N35" s="4">
        <v>4</v>
      </c>
    </row>
    <row r="36" spans="1:14" x14ac:dyDescent="0.3">
      <c r="A36" s="3" t="s">
        <v>135</v>
      </c>
      <c r="B36" s="1" t="s">
        <v>136</v>
      </c>
      <c r="C36" s="1" t="s">
        <v>73</v>
      </c>
      <c r="D36" s="1" t="str">
        <f>_xlfn.XLOOKUP(Table14[[#This Row],[Restaurant ID]],Table2[Restaurant ID],Table2[Restaurant Name2],"Not Found",0)</f>
        <v>South Spice</v>
      </c>
      <c r="E36" s="1" t="s">
        <v>36</v>
      </c>
      <c r="F36" s="12">
        <v>46269</v>
      </c>
      <c r="G36" s="12">
        <v>46269</v>
      </c>
      <c r="H36" s="12" t="str">
        <f>TEXT(Table14[[#This Row],[Delivery Date]],"dddd")</f>
        <v>Friday</v>
      </c>
      <c r="I36" s="1" t="s">
        <v>22</v>
      </c>
      <c r="J36" s="1">
        <v>42</v>
      </c>
      <c r="K36" s="1">
        <v>55</v>
      </c>
      <c r="L36" s="1">
        <v>840</v>
      </c>
      <c r="M36" s="1" t="s">
        <v>17</v>
      </c>
      <c r="N36" s="4">
        <v>3.5</v>
      </c>
    </row>
    <row r="37" spans="1:14" x14ac:dyDescent="0.3">
      <c r="A37" s="3" t="s">
        <v>137</v>
      </c>
      <c r="B37" s="1" t="s">
        <v>138</v>
      </c>
      <c r="C37" s="1" t="s">
        <v>78</v>
      </c>
      <c r="D37" s="1" t="str">
        <f>_xlfn.XLOOKUP(Table14[[#This Row],[Restaurant ID]],Table2[Restaurant ID],Table2[Restaurant Name2],"Not Found",0)</f>
        <v>Pasta Street</v>
      </c>
      <c r="E37" s="1" t="s">
        <v>41</v>
      </c>
      <c r="F37" s="12">
        <v>46270</v>
      </c>
      <c r="G37" s="12">
        <v>46270</v>
      </c>
      <c r="H37" s="12" t="str">
        <f>TEXT(Table14[[#This Row],[Delivery Date]],"dddd")</f>
        <v>Saturday</v>
      </c>
      <c r="I37" s="1" t="s">
        <v>27</v>
      </c>
      <c r="J37" s="1">
        <v>25</v>
      </c>
      <c r="K37" s="1">
        <v>30</v>
      </c>
      <c r="L37" s="1">
        <v>610</v>
      </c>
      <c r="M37" s="1" t="s">
        <v>17</v>
      </c>
      <c r="N37" s="4">
        <v>4.5</v>
      </c>
    </row>
    <row r="38" spans="1:14" x14ac:dyDescent="0.3">
      <c r="A38" s="3" t="s">
        <v>139</v>
      </c>
      <c r="B38" s="1" t="s">
        <v>140</v>
      </c>
      <c r="C38" s="1" t="s">
        <v>82</v>
      </c>
      <c r="D38" s="1" t="str">
        <f>_xlfn.XLOOKUP(Table14[[#This Row],[Restaurant ID]],Table2[Restaurant ID],Table2[Restaurant Name2],"Not Found",0)</f>
        <v>Chaat Corner</v>
      </c>
      <c r="E38" s="1" t="s">
        <v>15</v>
      </c>
      <c r="F38" s="12">
        <v>46271</v>
      </c>
      <c r="G38" s="12">
        <v>46271</v>
      </c>
      <c r="H38" s="12" t="str">
        <f>TEXT(Table14[[#This Row],[Delivery Date]],"dddd")</f>
        <v>Sunday</v>
      </c>
      <c r="I38" s="1" t="s">
        <v>32</v>
      </c>
      <c r="J38" s="1">
        <v>32</v>
      </c>
      <c r="K38" s="1">
        <v>40</v>
      </c>
      <c r="L38" s="1">
        <v>330</v>
      </c>
      <c r="M38" s="1" t="s">
        <v>17</v>
      </c>
      <c r="N38" s="4">
        <v>5</v>
      </c>
    </row>
    <row r="39" spans="1:14" x14ac:dyDescent="0.3">
      <c r="A39" s="3" t="s">
        <v>141</v>
      </c>
      <c r="B39" s="1" t="s">
        <v>142</v>
      </c>
      <c r="C39" s="1" t="s">
        <v>86</v>
      </c>
      <c r="D39" s="1" t="str">
        <f>_xlfn.XLOOKUP(Table14[[#This Row],[Restaurant ID]],Table2[Restaurant ID],Table2[Restaurant Name2],"Not Found",0)</f>
        <v>Grill Nation</v>
      </c>
      <c r="E39" s="1" t="s">
        <v>21</v>
      </c>
      <c r="F39" s="12">
        <v>46272</v>
      </c>
      <c r="G39" s="12">
        <v>46272</v>
      </c>
      <c r="H39" s="12" t="str">
        <f>TEXT(Table14[[#This Row],[Delivery Date]],"dddd")</f>
        <v>Monday</v>
      </c>
      <c r="I39" s="1" t="s">
        <v>37</v>
      </c>
      <c r="J39" s="1">
        <v>39</v>
      </c>
      <c r="K39" s="1">
        <v>50</v>
      </c>
      <c r="L39" s="1">
        <v>920</v>
      </c>
      <c r="M39" s="1" t="s">
        <v>17</v>
      </c>
      <c r="N39" s="4">
        <v>4</v>
      </c>
    </row>
    <row r="40" spans="1:14" x14ac:dyDescent="0.3">
      <c r="A40" s="3" t="s">
        <v>143</v>
      </c>
      <c r="B40" s="1" t="s">
        <v>144</v>
      </c>
      <c r="C40" s="1" t="s">
        <v>90</v>
      </c>
      <c r="D40" s="1" t="str">
        <f>_xlfn.XLOOKUP(Table14[[#This Row],[Restaurant ID]],Table2[Restaurant ID],Table2[Restaurant Name2],"Not Found",0)</f>
        <v>Kebab Kitchen</v>
      </c>
      <c r="E40" s="1" t="s">
        <v>26</v>
      </c>
      <c r="F40" s="12">
        <v>46273</v>
      </c>
      <c r="G40" s="12">
        <v>46273</v>
      </c>
      <c r="H40" s="12" t="str">
        <f>TEXT(Table14[[#This Row],[Delivery Date]],"dddd")</f>
        <v>Tuesday</v>
      </c>
      <c r="I40" s="1" t="s">
        <v>42</v>
      </c>
      <c r="J40" s="1">
        <v>27</v>
      </c>
      <c r="K40" s="1">
        <v>35</v>
      </c>
      <c r="L40" s="1">
        <v>690</v>
      </c>
      <c r="M40" s="1" t="s">
        <v>17</v>
      </c>
      <c r="N40" s="4">
        <v>4.5</v>
      </c>
    </row>
    <row r="41" spans="1:14" x14ac:dyDescent="0.3">
      <c r="A41" s="3" t="s">
        <v>145</v>
      </c>
      <c r="B41" s="1" t="s">
        <v>146</v>
      </c>
      <c r="C41" s="1" t="s">
        <v>94</v>
      </c>
      <c r="D41" s="1" t="str">
        <f>_xlfn.XLOOKUP(Table14[[#This Row],[Restaurant ID]],Table2[Restaurant ID],Table2[Restaurant Name2],"Not Found",0)</f>
        <v>Urban Tiffin</v>
      </c>
      <c r="E41" s="1" t="s">
        <v>31</v>
      </c>
      <c r="F41" s="12">
        <v>46274</v>
      </c>
      <c r="G41" s="12">
        <v>46274</v>
      </c>
      <c r="H41" s="12" t="str">
        <f>TEXT(Table14[[#This Row],[Delivery Date]],"dddd")</f>
        <v>Wednesday</v>
      </c>
      <c r="I41" s="1" t="s">
        <v>531</v>
      </c>
      <c r="J41" s="1">
        <v>44</v>
      </c>
      <c r="K41" s="1">
        <v>60</v>
      </c>
      <c r="L41" s="1">
        <v>550</v>
      </c>
      <c r="M41" s="1" t="s">
        <v>75</v>
      </c>
      <c r="N41" s="4">
        <v>3</v>
      </c>
    </row>
    <row r="42" spans="1:14" x14ac:dyDescent="0.3">
      <c r="A42" s="3" t="s">
        <v>147</v>
      </c>
      <c r="B42" s="1" t="s">
        <v>148</v>
      </c>
      <c r="C42" s="1" t="s">
        <v>14</v>
      </c>
      <c r="D42" s="1" t="str">
        <f>_xlfn.XLOOKUP(Table14[[#This Row],[Restaurant ID]],Table2[Restaurant ID],Table2[Restaurant Name2],"Not Found",0)</f>
        <v>Spice Villa</v>
      </c>
      <c r="E42" s="1" t="s">
        <v>36</v>
      </c>
      <c r="F42" s="12">
        <v>46275</v>
      </c>
      <c r="G42" s="12">
        <v>46275</v>
      </c>
      <c r="H42" s="12" t="str">
        <f>TEXT(Table14[[#This Row],[Delivery Date]],"dddd")</f>
        <v>Thursday</v>
      </c>
      <c r="I42" s="1" t="s">
        <v>46</v>
      </c>
      <c r="J42" s="1">
        <v>30</v>
      </c>
      <c r="K42" s="1">
        <v>40</v>
      </c>
      <c r="L42" s="1">
        <v>470</v>
      </c>
      <c r="M42" s="1" t="s">
        <v>17</v>
      </c>
      <c r="N42" s="4">
        <v>4</v>
      </c>
    </row>
    <row r="43" spans="1:14" x14ac:dyDescent="0.3">
      <c r="A43" s="3" t="s">
        <v>149</v>
      </c>
      <c r="B43" s="1" t="s">
        <v>150</v>
      </c>
      <c r="C43" s="1" t="s">
        <v>20</v>
      </c>
      <c r="D43" s="1" t="str">
        <f>_xlfn.XLOOKUP(Table14[[#This Row],[Restaurant ID]],Table2[Restaurant ID],Table2[Restaurant Name2],"Not Found",0)</f>
        <v>Pizza Hub</v>
      </c>
      <c r="E43" s="1" t="s">
        <v>41</v>
      </c>
      <c r="F43" s="12">
        <v>46276</v>
      </c>
      <c r="G43" s="12">
        <v>46276</v>
      </c>
      <c r="H43" s="12" t="str">
        <f>TEXT(Table14[[#This Row],[Delivery Date]],"dddd")</f>
        <v>Friday</v>
      </c>
      <c r="I43" s="1" t="s">
        <v>16</v>
      </c>
      <c r="J43" s="1">
        <v>36</v>
      </c>
      <c r="K43" s="1">
        <v>45</v>
      </c>
      <c r="L43" s="1">
        <v>630</v>
      </c>
      <c r="M43" s="1" t="s">
        <v>17</v>
      </c>
      <c r="N43" s="4">
        <v>4.5</v>
      </c>
    </row>
    <row r="44" spans="1:14" x14ac:dyDescent="0.3">
      <c r="A44" s="3" t="s">
        <v>151</v>
      </c>
      <c r="B44" s="1" t="s">
        <v>152</v>
      </c>
      <c r="C44" s="1" t="s">
        <v>25</v>
      </c>
      <c r="D44" s="1" t="str">
        <f>_xlfn.XLOOKUP(Table14[[#This Row],[Restaurant ID]],Table2[Restaurant ID],Table2[Restaurant Name2],"Not Found",0)</f>
        <v>Tandoori House</v>
      </c>
      <c r="E44" s="1" t="s">
        <v>15</v>
      </c>
      <c r="F44" s="12">
        <v>46277</v>
      </c>
      <c r="G44" s="12">
        <v>46277</v>
      </c>
      <c r="H44" s="12" t="str">
        <f>TEXT(Table14[[#This Row],[Delivery Date]],"dddd")</f>
        <v>Saturday</v>
      </c>
      <c r="I44" s="1" t="s">
        <v>22</v>
      </c>
      <c r="J44" s="1">
        <v>41</v>
      </c>
      <c r="K44" s="1">
        <v>55</v>
      </c>
      <c r="L44" s="1">
        <v>790</v>
      </c>
      <c r="M44" s="1" t="s">
        <v>17</v>
      </c>
      <c r="N44" s="4">
        <v>4</v>
      </c>
    </row>
    <row r="45" spans="1:14" x14ac:dyDescent="0.3">
      <c r="A45" s="3" t="s">
        <v>153</v>
      </c>
      <c r="B45" s="1" t="s">
        <v>154</v>
      </c>
      <c r="C45" s="1" t="s">
        <v>30</v>
      </c>
      <c r="D45" s="1" t="str">
        <f>_xlfn.XLOOKUP(Table14[[#This Row],[Restaurant ID]],Table2[Restaurant ID],Table2[Restaurant Name2],"Not Found",0)</f>
        <v>Burger Point</v>
      </c>
      <c r="E45" s="1" t="s">
        <v>21</v>
      </c>
      <c r="F45" s="12">
        <v>46278</v>
      </c>
      <c r="G45" s="12">
        <v>46278</v>
      </c>
      <c r="H45" s="12" t="str">
        <f>TEXT(Table14[[#This Row],[Delivery Date]],"dddd")</f>
        <v>Sunday</v>
      </c>
      <c r="I45" s="1" t="s">
        <v>27</v>
      </c>
      <c r="J45" s="1">
        <v>28</v>
      </c>
      <c r="K45" s="1">
        <v>30</v>
      </c>
      <c r="L45" s="1">
        <v>360</v>
      </c>
      <c r="M45" s="1" t="s">
        <v>17</v>
      </c>
      <c r="N45" s="4">
        <v>5</v>
      </c>
    </row>
    <row r="46" spans="1:14" x14ac:dyDescent="0.3">
      <c r="A46" s="3" t="s">
        <v>156</v>
      </c>
      <c r="B46" s="1" t="s">
        <v>157</v>
      </c>
      <c r="C46" s="1" t="s">
        <v>35</v>
      </c>
      <c r="D46" s="1" t="str">
        <f>_xlfn.XLOOKUP(Table14[[#This Row],[Restaurant ID]],Table2[Restaurant ID],Table2[Restaurant Name2],"Not Found",0)</f>
        <v>Dosa Corner</v>
      </c>
      <c r="E46" s="1" t="s">
        <v>26</v>
      </c>
      <c r="F46" s="12">
        <v>46279</v>
      </c>
      <c r="G46" s="12">
        <v>46279</v>
      </c>
      <c r="H46" s="12" t="str">
        <f>TEXT(Table14[[#This Row],[Delivery Date]],"dddd")</f>
        <v>Monday</v>
      </c>
      <c r="I46" s="1" t="s">
        <v>32</v>
      </c>
      <c r="J46" s="1">
        <v>33</v>
      </c>
      <c r="K46" s="1">
        <v>40</v>
      </c>
      <c r="L46" s="1">
        <v>910</v>
      </c>
      <c r="M46" s="1" t="s">
        <v>17</v>
      </c>
      <c r="N46" s="4">
        <v>4.5</v>
      </c>
    </row>
    <row r="47" spans="1:14" x14ac:dyDescent="0.3">
      <c r="A47" s="3" t="s">
        <v>159</v>
      </c>
      <c r="B47" s="1" t="s">
        <v>160</v>
      </c>
      <c r="C47" s="1" t="s">
        <v>40</v>
      </c>
      <c r="D47" s="1" t="str">
        <f>_xlfn.XLOOKUP(Table14[[#This Row],[Restaurant ID]],Table2[Restaurant ID],Table2[Restaurant Name2],"Not Found",0)</f>
        <v>Biryani Express</v>
      </c>
      <c r="E47" s="1" t="s">
        <v>31</v>
      </c>
      <c r="F47" s="12">
        <v>46280</v>
      </c>
      <c r="G47" s="12">
        <v>46280</v>
      </c>
      <c r="H47" s="12" t="str">
        <f>TEXT(Table14[[#This Row],[Delivery Date]],"dddd")</f>
        <v>Tuesday</v>
      </c>
      <c r="I47" s="1" t="s">
        <v>37</v>
      </c>
      <c r="J47" s="1">
        <v>45</v>
      </c>
      <c r="K47" s="1">
        <v>60</v>
      </c>
      <c r="L47" s="1">
        <v>650</v>
      </c>
      <c r="M47" s="1" t="s">
        <v>75</v>
      </c>
      <c r="N47" s="4">
        <v>3.5</v>
      </c>
    </row>
    <row r="48" spans="1:14" x14ac:dyDescent="0.3">
      <c r="A48" s="3" t="s">
        <v>162</v>
      </c>
      <c r="B48" s="1" t="s">
        <v>163</v>
      </c>
      <c r="C48" s="1" t="s">
        <v>45</v>
      </c>
      <c r="D48" s="1" t="str">
        <f>_xlfn.XLOOKUP(Table14[[#This Row],[Restaurant ID]],Table2[Restaurant ID],Table2[Restaurant Name2],"Not Found",0)</f>
        <v>Green Leaf</v>
      </c>
      <c r="E48" s="1" t="s">
        <v>36</v>
      </c>
      <c r="F48" s="12">
        <v>46281</v>
      </c>
      <c r="G48" s="12">
        <v>46281</v>
      </c>
      <c r="H48" s="12" t="str">
        <f>TEXT(Table14[[#This Row],[Delivery Date]],"dddd")</f>
        <v>Wednesday</v>
      </c>
      <c r="I48" s="1" t="s">
        <v>531</v>
      </c>
      <c r="J48" s="1">
        <v>26</v>
      </c>
      <c r="K48" s="1">
        <v>30</v>
      </c>
      <c r="L48" s="1">
        <v>520</v>
      </c>
      <c r="M48" s="1" t="s">
        <v>17</v>
      </c>
      <c r="N48" s="4">
        <v>4</v>
      </c>
    </row>
    <row r="49" spans="1:14" x14ac:dyDescent="0.3">
      <c r="A49" s="3" t="s">
        <v>165</v>
      </c>
      <c r="B49" s="1" t="s">
        <v>166</v>
      </c>
      <c r="C49" s="1" t="s">
        <v>49</v>
      </c>
      <c r="D49" s="1" t="str">
        <f>_xlfn.XLOOKUP(Table14[[#This Row],[Restaurant ID]],Table2[Restaurant ID],Table2[Restaurant Name2],"Not Found",0)</f>
        <v>Cafe Aroma</v>
      </c>
      <c r="E49" s="1" t="s">
        <v>41</v>
      </c>
      <c r="F49" s="12">
        <v>46282</v>
      </c>
      <c r="G49" s="12">
        <v>46282</v>
      </c>
      <c r="H49" s="12" t="str">
        <f>TEXT(Table14[[#This Row],[Delivery Date]],"dddd")</f>
        <v>Thursday</v>
      </c>
      <c r="I49" s="1" t="s">
        <v>42</v>
      </c>
      <c r="J49" s="1">
        <v>38</v>
      </c>
      <c r="K49" s="1">
        <v>45</v>
      </c>
      <c r="L49" s="1">
        <v>440</v>
      </c>
      <c r="M49" s="1" t="s">
        <v>17</v>
      </c>
      <c r="N49" s="4">
        <v>4.5</v>
      </c>
    </row>
    <row r="50" spans="1:14" x14ac:dyDescent="0.3">
      <c r="A50" s="3" t="s">
        <v>168</v>
      </c>
      <c r="B50" s="1" t="s">
        <v>169</v>
      </c>
      <c r="C50" s="1" t="s">
        <v>52</v>
      </c>
      <c r="D50" s="1" t="str">
        <f>_xlfn.XLOOKUP(Table14[[#This Row],[Restaurant ID]],Table2[Restaurant ID],Table2[Restaurant Name2],"Not Found",0)</f>
        <v>Royal Thali</v>
      </c>
      <c r="E50" s="1" t="s">
        <v>15</v>
      </c>
      <c r="F50" s="12">
        <v>46283</v>
      </c>
      <c r="G50" s="12">
        <v>46283</v>
      </c>
      <c r="H50" s="12" t="str">
        <f>TEXT(Table14[[#This Row],[Delivery Date]],"dddd")</f>
        <v>Friday</v>
      </c>
      <c r="I50" s="1" t="s">
        <v>46</v>
      </c>
      <c r="J50" s="1">
        <v>29</v>
      </c>
      <c r="K50" s="1">
        <v>35</v>
      </c>
      <c r="L50" s="1">
        <v>700</v>
      </c>
      <c r="M50" s="1" t="s">
        <v>17</v>
      </c>
      <c r="N50" s="4">
        <v>5</v>
      </c>
    </row>
    <row r="51" spans="1:14" x14ac:dyDescent="0.3">
      <c r="A51" s="3" t="s">
        <v>171</v>
      </c>
      <c r="B51" s="1" t="s">
        <v>172</v>
      </c>
      <c r="C51" s="1" t="s">
        <v>55</v>
      </c>
      <c r="D51" s="1" t="str">
        <f>_xlfn.XLOOKUP(Table14[[#This Row],[Restaurant ID]],Table2[Restaurant ID],Table2[Restaurant Name2],"Not Found",0)</f>
        <v>Chinese Wok</v>
      </c>
      <c r="E51" s="1" t="s">
        <v>21</v>
      </c>
      <c r="F51" s="12">
        <v>46284</v>
      </c>
      <c r="G51" s="12">
        <v>46284</v>
      </c>
      <c r="H51" s="12" t="str">
        <f>TEXT(Table14[[#This Row],[Delivery Date]],"dddd")</f>
        <v>Saturday</v>
      </c>
      <c r="I51" s="1" t="s">
        <v>16</v>
      </c>
      <c r="J51" s="1">
        <v>40</v>
      </c>
      <c r="K51" s="1">
        <v>50</v>
      </c>
      <c r="L51" s="1">
        <v>580</v>
      </c>
      <c r="M51" s="1" t="s">
        <v>17</v>
      </c>
      <c r="N51" s="4">
        <v>4</v>
      </c>
    </row>
    <row r="52" spans="1:14" x14ac:dyDescent="0.3">
      <c r="A52" s="3" t="s">
        <v>174</v>
      </c>
      <c r="B52" s="1" t="s">
        <v>175</v>
      </c>
      <c r="C52" s="1" t="s">
        <v>59</v>
      </c>
      <c r="D52" s="1" t="str">
        <f>_xlfn.XLOOKUP(Table14[[#This Row],[Restaurant ID]],Table2[Restaurant ID],Table2[Restaurant Name2],"Not Found",0)</f>
        <v>Food Junction</v>
      </c>
      <c r="E52" s="1" t="s">
        <v>26</v>
      </c>
      <c r="F52" s="12">
        <v>46285</v>
      </c>
      <c r="G52" s="12">
        <v>46285</v>
      </c>
      <c r="H52" s="12" t="str">
        <f>TEXT(Table14[[#This Row],[Delivery Date]],"dddd")</f>
        <v>Sunday</v>
      </c>
      <c r="I52" s="1" t="s">
        <v>22</v>
      </c>
      <c r="J52" s="1">
        <v>31</v>
      </c>
      <c r="K52" s="1">
        <v>40</v>
      </c>
      <c r="L52" s="1">
        <v>970</v>
      </c>
      <c r="M52" s="1" t="s">
        <v>17</v>
      </c>
      <c r="N52" s="4">
        <v>4.5</v>
      </c>
    </row>
    <row r="53" spans="1:14" x14ac:dyDescent="0.3">
      <c r="A53" s="3" t="s">
        <v>177</v>
      </c>
      <c r="B53" s="1" t="s">
        <v>178</v>
      </c>
      <c r="C53" s="1" t="s">
        <v>62</v>
      </c>
      <c r="D53" s="1" t="str">
        <f>_xlfn.XLOOKUP(Table14[[#This Row],[Restaurant ID]],Table2[Restaurant ID],Table2[Restaurant Name2],"Not Found",0)</f>
        <v>Wrap House</v>
      </c>
      <c r="E53" s="1" t="s">
        <v>31</v>
      </c>
      <c r="F53" s="12">
        <v>46286</v>
      </c>
      <c r="G53" s="12">
        <v>46286</v>
      </c>
      <c r="H53" s="12" t="str">
        <f>TEXT(Table14[[#This Row],[Delivery Date]],"dddd")</f>
        <v>Monday</v>
      </c>
      <c r="I53" s="1" t="s">
        <v>27</v>
      </c>
      <c r="J53" s="1">
        <v>35</v>
      </c>
      <c r="K53" s="1">
        <v>45</v>
      </c>
      <c r="L53" s="1">
        <v>400</v>
      </c>
      <c r="M53" s="1" t="s">
        <v>17</v>
      </c>
      <c r="N53" s="4">
        <v>4</v>
      </c>
    </row>
    <row r="54" spans="1:14" x14ac:dyDescent="0.3">
      <c r="A54" s="3" t="s">
        <v>180</v>
      </c>
      <c r="B54" s="1" t="s">
        <v>181</v>
      </c>
      <c r="C54" s="1" t="s">
        <v>65</v>
      </c>
      <c r="D54" s="1" t="str">
        <f>_xlfn.XLOOKUP(Table14[[#This Row],[Restaurant ID]],Table2[Restaurant ID],Table2[Restaurant Name2],"Not Found",0)</f>
        <v>Curry Palace</v>
      </c>
      <c r="E54" s="1" t="s">
        <v>36</v>
      </c>
      <c r="F54" s="12">
        <v>46287</v>
      </c>
      <c r="G54" s="12">
        <v>46287</v>
      </c>
      <c r="H54" s="12" t="str">
        <f>TEXT(Table14[[#This Row],[Delivery Date]],"dddd")</f>
        <v>Tuesday</v>
      </c>
      <c r="I54" s="1" t="s">
        <v>32</v>
      </c>
      <c r="J54" s="1">
        <v>27</v>
      </c>
      <c r="K54" s="1">
        <v>30</v>
      </c>
      <c r="L54" s="1">
        <v>760</v>
      </c>
      <c r="M54" s="1" t="s">
        <v>17</v>
      </c>
      <c r="N54" s="4">
        <v>5</v>
      </c>
    </row>
    <row r="55" spans="1:14" x14ac:dyDescent="0.3">
      <c r="A55" s="3" t="s">
        <v>183</v>
      </c>
      <c r="B55" s="1" t="s">
        <v>184</v>
      </c>
      <c r="C55" s="1" t="s">
        <v>69</v>
      </c>
      <c r="D55" s="1" t="str">
        <f>_xlfn.XLOOKUP(Table14[[#This Row],[Restaurant ID]],Table2[Restaurant ID],Table2[Restaurant Name2],"Not Found",0)</f>
        <v>Momos Magic</v>
      </c>
      <c r="E55" s="1" t="s">
        <v>41</v>
      </c>
      <c r="F55" s="12">
        <v>46288</v>
      </c>
      <c r="G55" s="12">
        <v>46288</v>
      </c>
      <c r="H55" s="12" t="str">
        <f>TEXT(Table14[[#This Row],[Delivery Date]],"dddd")</f>
        <v>Wednesday</v>
      </c>
      <c r="I55" s="1" t="s">
        <v>37</v>
      </c>
      <c r="J55" s="1">
        <v>43</v>
      </c>
      <c r="K55" s="1">
        <v>60</v>
      </c>
      <c r="L55" s="1">
        <v>500</v>
      </c>
      <c r="M55" s="1" t="s">
        <v>75</v>
      </c>
      <c r="N55" s="4">
        <v>3.5</v>
      </c>
    </row>
    <row r="56" spans="1:14" x14ac:dyDescent="0.3">
      <c r="A56" s="3" t="s">
        <v>186</v>
      </c>
      <c r="B56" s="1" t="s">
        <v>187</v>
      </c>
      <c r="C56" s="1" t="s">
        <v>73</v>
      </c>
      <c r="D56" s="1" t="str">
        <f>_xlfn.XLOOKUP(Table14[[#This Row],[Restaurant ID]],Table2[Restaurant ID],Table2[Restaurant Name2],"Not Found",0)</f>
        <v>South Spice</v>
      </c>
      <c r="E56" s="1" t="s">
        <v>15</v>
      </c>
      <c r="F56" s="12">
        <v>46289</v>
      </c>
      <c r="G56" s="12">
        <v>46289</v>
      </c>
      <c r="H56" s="12" t="str">
        <f>TEXT(Table14[[#This Row],[Delivery Date]],"dddd")</f>
        <v>Thursday</v>
      </c>
      <c r="I56" s="1" t="s">
        <v>42</v>
      </c>
      <c r="J56" s="1">
        <v>30</v>
      </c>
      <c r="K56" s="1">
        <v>40</v>
      </c>
      <c r="L56" s="1">
        <v>860</v>
      </c>
      <c r="M56" s="1" t="s">
        <v>17</v>
      </c>
      <c r="N56" s="4">
        <v>4</v>
      </c>
    </row>
    <row r="57" spans="1:14" x14ac:dyDescent="0.3">
      <c r="A57" s="3" t="s">
        <v>189</v>
      </c>
      <c r="B57" s="1" t="s">
        <v>190</v>
      </c>
      <c r="C57" s="1" t="s">
        <v>78</v>
      </c>
      <c r="D57" s="1" t="str">
        <f>_xlfn.XLOOKUP(Table14[[#This Row],[Restaurant ID]],Table2[Restaurant ID],Table2[Restaurant Name2],"Not Found",0)</f>
        <v>Pasta Street</v>
      </c>
      <c r="E57" s="1" t="s">
        <v>21</v>
      </c>
      <c r="F57" s="12">
        <v>46290</v>
      </c>
      <c r="G57" s="12">
        <v>46290</v>
      </c>
      <c r="H57" s="12" t="str">
        <f>TEXT(Table14[[#This Row],[Delivery Date]],"dddd")</f>
        <v>Friday</v>
      </c>
      <c r="I57" s="1" t="s">
        <v>531</v>
      </c>
      <c r="J57" s="1">
        <v>25</v>
      </c>
      <c r="K57" s="1">
        <v>30</v>
      </c>
      <c r="L57" s="1">
        <v>620</v>
      </c>
      <c r="M57" s="1" t="s">
        <v>17</v>
      </c>
      <c r="N57" s="4">
        <v>4.5</v>
      </c>
    </row>
    <row r="58" spans="1:14" x14ac:dyDescent="0.3">
      <c r="A58" s="3" t="s">
        <v>192</v>
      </c>
      <c r="B58" s="1" t="s">
        <v>193</v>
      </c>
      <c r="C58" s="1" t="s">
        <v>82</v>
      </c>
      <c r="D58" s="1" t="str">
        <f>_xlfn.XLOOKUP(Table14[[#This Row],[Restaurant ID]],Table2[Restaurant ID],Table2[Restaurant Name2],"Not Found",0)</f>
        <v>Chaat Corner</v>
      </c>
      <c r="E58" s="1" t="s">
        <v>26</v>
      </c>
      <c r="F58" s="12">
        <v>46291</v>
      </c>
      <c r="G58" s="12">
        <v>46291</v>
      </c>
      <c r="H58" s="12" t="str">
        <f>TEXT(Table14[[#This Row],[Delivery Date]],"dddd")</f>
        <v>Saturday</v>
      </c>
      <c r="I58" s="1" t="s">
        <v>46</v>
      </c>
      <c r="J58" s="1">
        <v>34</v>
      </c>
      <c r="K58" s="1">
        <v>40</v>
      </c>
      <c r="L58" s="1">
        <v>340</v>
      </c>
      <c r="M58" s="1" t="s">
        <v>17</v>
      </c>
      <c r="N58" s="4">
        <v>5</v>
      </c>
    </row>
    <row r="59" spans="1:14" x14ac:dyDescent="0.3">
      <c r="A59" s="3" t="s">
        <v>195</v>
      </c>
      <c r="B59" s="1" t="s">
        <v>196</v>
      </c>
      <c r="C59" s="1" t="s">
        <v>86</v>
      </c>
      <c r="D59" s="1" t="str">
        <f>_xlfn.XLOOKUP(Table14[[#This Row],[Restaurant ID]],Table2[Restaurant ID],Table2[Restaurant Name2],"Not Found",0)</f>
        <v>Grill Nation</v>
      </c>
      <c r="E59" s="1" t="s">
        <v>31</v>
      </c>
      <c r="F59" s="12">
        <v>46292</v>
      </c>
      <c r="G59" s="12">
        <v>46292</v>
      </c>
      <c r="H59" s="12" t="str">
        <f>TEXT(Table14[[#This Row],[Delivery Date]],"dddd")</f>
        <v>Sunday</v>
      </c>
      <c r="I59" s="1" t="s">
        <v>16</v>
      </c>
      <c r="J59" s="1">
        <v>39</v>
      </c>
      <c r="K59" s="1">
        <v>50</v>
      </c>
      <c r="L59" s="1">
        <v>930</v>
      </c>
      <c r="M59" s="1" t="s">
        <v>17</v>
      </c>
      <c r="N59" s="4">
        <v>4</v>
      </c>
    </row>
    <row r="60" spans="1:14" x14ac:dyDescent="0.3">
      <c r="A60" s="3" t="s">
        <v>198</v>
      </c>
      <c r="B60" s="1" t="s">
        <v>199</v>
      </c>
      <c r="C60" s="1" t="s">
        <v>90</v>
      </c>
      <c r="D60" s="1" t="str">
        <f>_xlfn.XLOOKUP(Table14[[#This Row],[Restaurant ID]],Table2[Restaurant ID],Table2[Restaurant Name2],"Not Found",0)</f>
        <v>Kebab Kitchen</v>
      </c>
      <c r="E60" s="1" t="s">
        <v>36</v>
      </c>
      <c r="F60" s="12">
        <v>46293</v>
      </c>
      <c r="G60" s="12">
        <v>46293</v>
      </c>
      <c r="H60" s="12" t="str">
        <f>TEXT(Table14[[#This Row],[Delivery Date]],"dddd")</f>
        <v>Monday</v>
      </c>
      <c r="I60" s="1" t="s">
        <v>22</v>
      </c>
      <c r="J60" s="1">
        <v>28</v>
      </c>
      <c r="K60" s="1">
        <v>35</v>
      </c>
      <c r="L60" s="1">
        <v>710</v>
      </c>
      <c r="M60" s="1" t="s">
        <v>17</v>
      </c>
      <c r="N60" s="4">
        <v>4.5</v>
      </c>
    </row>
    <row r="61" spans="1:14" x14ac:dyDescent="0.3">
      <c r="A61" s="3" t="s">
        <v>201</v>
      </c>
      <c r="B61" s="1" t="s">
        <v>202</v>
      </c>
      <c r="C61" s="1" t="s">
        <v>94</v>
      </c>
      <c r="D61" s="1" t="str">
        <f>_xlfn.XLOOKUP(Table14[[#This Row],[Restaurant ID]],Table2[Restaurant ID],Table2[Restaurant Name2],"Not Found",0)</f>
        <v>Urban Tiffin</v>
      </c>
      <c r="E61" s="1" t="s">
        <v>41</v>
      </c>
      <c r="F61" s="12">
        <v>46294</v>
      </c>
      <c r="G61" s="12">
        <v>46294</v>
      </c>
      <c r="H61" s="12" t="str">
        <f>TEXT(Table14[[#This Row],[Delivery Date]],"dddd")</f>
        <v>Tuesday</v>
      </c>
      <c r="I61" s="1" t="s">
        <v>27</v>
      </c>
      <c r="J61" s="1">
        <v>46</v>
      </c>
      <c r="K61" s="1">
        <v>65</v>
      </c>
      <c r="L61" s="1">
        <v>560</v>
      </c>
      <c r="M61" s="1" t="s">
        <v>75</v>
      </c>
      <c r="N61" s="4">
        <v>3</v>
      </c>
    </row>
    <row r="62" spans="1:14" x14ac:dyDescent="0.3">
      <c r="A62" s="3" t="s">
        <v>204</v>
      </c>
      <c r="B62" s="1" t="s">
        <v>205</v>
      </c>
      <c r="C62" s="1" t="s">
        <v>14</v>
      </c>
      <c r="D62" s="1" t="str">
        <f>_xlfn.XLOOKUP(Table14[[#This Row],[Restaurant ID]],Table2[Restaurant ID],Table2[Restaurant Name2],"Not Found",0)</f>
        <v>Spice Villa</v>
      </c>
      <c r="E62" s="1" t="s">
        <v>15</v>
      </c>
      <c r="F62" s="12">
        <v>46295</v>
      </c>
      <c r="G62" s="12">
        <v>46295</v>
      </c>
      <c r="H62" s="12" t="str">
        <f>TEXT(Table14[[#This Row],[Delivery Date]],"dddd")</f>
        <v>Wednesday</v>
      </c>
      <c r="I62" s="1" t="s">
        <v>32</v>
      </c>
      <c r="J62" s="1">
        <v>31</v>
      </c>
      <c r="K62" s="1">
        <v>40</v>
      </c>
      <c r="L62" s="1">
        <v>480</v>
      </c>
      <c r="M62" s="1" t="s">
        <v>17</v>
      </c>
      <c r="N62" s="4">
        <v>4</v>
      </c>
    </row>
    <row r="63" spans="1:14" x14ac:dyDescent="0.3">
      <c r="A63" s="3" t="s">
        <v>207</v>
      </c>
      <c r="B63" s="1" t="s">
        <v>208</v>
      </c>
      <c r="C63" s="1" t="s">
        <v>20</v>
      </c>
      <c r="D63" s="1" t="str">
        <f>_xlfn.XLOOKUP(Table14[[#This Row],[Restaurant ID]],Table2[Restaurant ID],Table2[Restaurant Name2],"Not Found",0)</f>
        <v>Pizza Hub</v>
      </c>
      <c r="E63" s="1" t="s">
        <v>21</v>
      </c>
      <c r="F63" s="12">
        <v>46296</v>
      </c>
      <c r="G63" s="12">
        <v>46296</v>
      </c>
      <c r="H63" s="12" t="str">
        <f>TEXT(Table14[[#This Row],[Delivery Date]],"dddd")</f>
        <v>Thursday</v>
      </c>
      <c r="I63" s="1" t="s">
        <v>37</v>
      </c>
      <c r="J63" s="1">
        <v>29</v>
      </c>
      <c r="K63" s="1">
        <v>35</v>
      </c>
      <c r="L63" s="1">
        <v>650</v>
      </c>
      <c r="M63" s="1" t="s">
        <v>17</v>
      </c>
      <c r="N63" s="4">
        <v>4.5</v>
      </c>
    </row>
    <row r="64" spans="1:14" x14ac:dyDescent="0.3">
      <c r="A64" s="3" t="s">
        <v>209</v>
      </c>
      <c r="B64" s="1" t="s">
        <v>210</v>
      </c>
      <c r="C64" s="1" t="s">
        <v>25</v>
      </c>
      <c r="D64" s="1" t="str">
        <f>_xlfn.XLOOKUP(Table14[[#This Row],[Restaurant ID]],Table2[Restaurant ID],Table2[Restaurant Name2],"Not Found",0)</f>
        <v>Tandoori House</v>
      </c>
      <c r="E64" s="1" t="s">
        <v>26</v>
      </c>
      <c r="F64" s="12">
        <v>46297</v>
      </c>
      <c r="G64" s="12">
        <v>46297</v>
      </c>
      <c r="H64" s="12" t="str">
        <f>TEXT(Table14[[#This Row],[Delivery Date]],"dddd")</f>
        <v>Friday</v>
      </c>
      <c r="I64" s="1" t="s">
        <v>42</v>
      </c>
      <c r="J64" s="1">
        <v>37</v>
      </c>
      <c r="K64" s="1">
        <v>50</v>
      </c>
      <c r="L64" s="1">
        <v>810</v>
      </c>
      <c r="M64" s="1" t="s">
        <v>17</v>
      </c>
      <c r="N64" s="4">
        <v>4</v>
      </c>
    </row>
    <row r="65" spans="1:14" x14ac:dyDescent="0.3">
      <c r="A65" s="3" t="s">
        <v>211</v>
      </c>
      <c r="B65" s="1" t="s">
        <v>212</v>
      </c>
      <c r="C65" s="1" t="s">
        <v>30</v>
      </c>
      <c r="D65" s="1" t="str">
        <f>_xlfn.XLOOKUP(Table14[[#This Row],[Restaurant ID]],Table2[Restaurant ID],Table2[Restaurant Name2],"Not Found",0)</f>
        <v>Burger Point</v>
      </c>
      <c r="E65" s="1" t="s">
        <v>31</v>
      </c>
      <c r="F65" s="12">
        <v>46298</v>
      </c>
      <c r="G65" s="12">
        <v>46298</v>
      </c>
      <c r="H65" s="12" t="str">
        <f>TEXT(Table14[[#This Row],[Delivery Date]],"dddd")</f>
        <v>Saturday</v>
      </c>
      <c r="I65" s="1" t="s">
        <v>46</v>
      </c>
      <c r="J65" s="1">
        <v>24</v>
      </c>
      <c r="K65" s="1">
        <v>30</v>
      </c>
      <c r="L65" s="1">
        <v>380</v>
      </c>
      <c r="M65" s="1" t="s">
        <v>17</v>
      </c>
      <c r="N65" s="4">
        <v>5</v>
      </c>
    </row>
    <row r="66" spans="1:14" x14ac:dyDescent="0.3">
      <c r="A66" s="3" t="s">
        <v>213</v>
      </c>
      <c r="B66" s="1" t="s">
        <v>214</v>
      </c>
      <c r="C66" s="1" t="s">
        <v>35</v>
      </c>
      <c r="D66" s="1" t="str">
        <f>_xlfn.XLOOKUP(Table14[[#This Row],[Restaurant ID]],Table2[Restaurant ID],Table2[Restaurant Name2],"Not Found",0)</f>
        <v>Dosa Corner</v>
      </c>
      <c r="E66" s="1" t="s">
        <v>36</v>
      </c>
      <c r="F66" s="12">
        <v>46299</v>
      </c>
      <c r="G66" s="12">
        <v>46299</v>
      </c>
      <c r="H66" s="12" t="str">
        <f>TEXT(Table14[[#This Row],[Delivery Date]],"dddd")</f>
        <v>Sunday</v>
      </c>
      <c r="I66" s="1" t="s">
        <v>16</v>
      </c>
      <c r="J66" s="1">
        <v>34</v>
      </c>
      <c r="K66" s="1">
        <v>45</v>
      </c>
      <c r="L66" s="1">
        <v>940</v>
      </c>
      <c r="M66" s="1" t="s">
        <v>17</v>
      </c>
      <c r="N66" s="4">
        <v>4.5</v>
      </c>
    </row>
    <row r="67" spans="1:14" x14ac:dyDescent="0.3">
      <c r="A67" s="3" t="s">
        <v>215</v>
      </c>
      <c r="B67" s="1" t="s">
        <v>216</v>
      </c>
      <c r="C67" s="1" t="s">
        <v>40</v>
      </c>
      <c r="D67" s="1" t="str">
        <f>_xlfn.XLOOKUP(Table14[[#This Row],[Restaurant ID]],Table2[Restaurant ID],Table2[Restaurant Name2],"Not Found",0)</f>
        <v>Biryani Express</v>
      </c>
      <c r="E67" s="1" t="s">
        <v>41</v>
      </c>
      <c r="F67" s="12">
        <v>46300</v>
      </c>
      <c r="G67" s="12">
        <v>46300</v>
      </c>
      <c r="H67" s="12" t="str">
        <f>TEXT(Table14[[#This Row],[Delivery Date]],"dddd")</f>
        <v>Monday</v>
      </c>
      <c r="I67" s="1" t="s">
        <v>22</v>
      </c>
      <c r="J67" s="1">
        <v>41</v>
      </c>
      <c r="K67" s="1">
        <v>55</v>
      </c>
      <c r="L67" s="1">
        <v>670</v>
      </c>
      <c r="M67" s="1" t="s">
        <v>17</v>
      </c>
      <c r="N67" s="4">
        <v>4</v>
      </c>
    </row>
    <row r="68" spans="1:14" x14ac:dyDescent="0.3">
      <c r="A68" s="3" t="s">
        <v>217</v>
      </c>
      <c r="B68" s="1" t="s">
        <v>218</v>
      </c>
      <c r="C68" s="1" t="s">
        <v>45</v>
      </c>
      <c r="D68" s="1" t="str">
        <f>_xlfn.XLOOKUP(Table14[[#This Row],[Restaurant ID]],Table2[Restaurant ID],Table2[Restaurant Name2],"Not Found",0)</f>
        <v>Green Leaf</v>
      </c>
      <c r="E68" s="1" t="s">
        <v>15</v>
      </c>
      <c r="F68" s="12">
        <v>46301</v>
      </c>
      <c r="G68" s="12">
        <v>46301</v>
      </c>
      <c r="H68" s="12" t="str">
        <f>TEXT(Table14[[#This Row],[Delivery Date]],"dddd")</f>
        <v>Tuesday</v>
      </c>
      <c r="I68" s="1" t="s">
        <v>531</v>
      </c>
      <c r="J68" s="1">
        <v>27</v>
      </c>
      <c r="K68" s="1">
        <v>30</v>
      </c>
      <c r="L68" s="1">
        <v>530</v>
      </c>
      <c r="M68" s="1" t="s">
        <v>17</v>
      </c>
      <c r="N68" s="4">
        <v>4.5</v>
      </c>
    </row>
    <row r="69" spans="1:14" x14ac:dyDescent="0.3">
      <c r="A69" s="3" t="s">
        <v>219</v>
      </c>
      <c r="B69" s="1" t="s">
        <v>220</v>
      </c>
      <c r="C69" s="1" t="s">
        <v>49</v>
      </c>
      <c r="D69" s="1" t="str">
        <f>_xlfn.XLOOKUP(Table14[[#This Row],[Restaurant ID]],Table2[Restaurant ID],Table2[Restaurant Name2],"Not Found",0)</f>
        <v>Cafe Aroma</v>
      </c>
      <c r="E69" s="1" t="s">
        <v>21</v>
      </c>
      <c r="F69" s="12">
        <v>46302</v>
      </c>
      <c r="G69" s="12">
        <v>46302</v>
      </c>
      <c r="H69" s="12" t="str">
        <f>TEXT(Table14[[#This Row],[Delivery Date]],"dddd")</f>
        <v>Wednesday</v>
      </c>
      <c r="I69" s="1" t="s">
        <v>27</v>
      </c>
      <c r="J69" s="1">
        <v>36</v>
      </c>
      <c r="K69" s="1">
        <v>45</v>
      </c>
      <c r="L69" s="1">
        <v>450</v>
      </c>
      <c r="M69" s="1" t="s">
        <v>17</v>
      </c>
      <c r="N69" s="4">
        <v>4</v>
      </c>
    </row>
    <row r="70" spans="1:14" x14ac:dyDescent="0.3">
      <c r="A70" s="3" t="s">
        <v>221</v>
      </c>
      <c r="B70" s="1" t="s">
        <v>222</v>
      </c>
      <c r="C70" s="1" t="s">
        <v>52</v>
      </c>
      <c r="D70" s="1" t="str">
        <f>_xlfn.XLOOKUP(Table14[[#This Row],[Restaurant ID]],Table2[Restaurant ID],Table2[Restaurant Name2],"Not Found",0)</f>
        <v>Royal Thali</v>
      </c>
      <c r="E70" s="1" t="s">
        <v>26</v>
      </c>
      <c r="F70" s="12">
        <v>46303</v>
      </c>
      <c r="G70" s="12">
        <v>46303</v>
      </c>
      <c r="H70" s="12" t="str">
        <f>TEXT(Table14[[#This Row],[Delivery Date]],"dddd")</f>
        <v>Thursday</v>
      </c>
      <c r="I70" s="1" t="s">
        <v>32</v>
      </c>
      <c r="J70" s="1">
        <v>30</v>
      </c>
      <c r="K70" s="1">
        <v>35</v>
      </c>
      <c r="L70" s="1">
        <v>690</v>
      </c>
      <c r="M70" s="1" t="s">
        <v>17</v>
      </c>
      <c r="N70" s="4">
        <v>5</v>
      </c>
    </row>
    <row r="71" spans="1:14" x14ac:dyDescent="0.3">
      <c r="A71" s="3" t="s">
        <v>223</v>
      </c>
      <c r="B71" s="1" t="s">
        <v>224</v>
      </c>
      <c r="C71" s="1" t="s">
        <v>55</v>
      </c>
      <c r="D71" s="1" t="str">
        <f>_xlfn.XLOOKUP(Table14[[#This Row],[Restaurant ID]],Table2[Restaurant ID],Table2[Restaurant Name2],"Not Found",0)</f>
        <v>Chinese Wok</v>
      </c>
      <c r="E71" s="1" t="s">
        <v>31</v>
      </c>
      <c r="F71" s="12">
        <v>46304</v>
      </c>
      <c r="G71" s="12">
        <v>46304</v>
      </c>
      <c r="H71" s="12" t="str">
        <f>TEXT(Table14[[#This Row],[Delivery Date]],"dddd")</f>
        <v>Friday</v>
      </c>
      <c r="I71" s="1" t="s">
        <v>37</v>
      </c>
      <c r="J71" s="1">
        <v>44</v>
      </c>
      <c r="K71" s="1">
        <v>60</v>
      </c>
      <c r="L71" s="1">
        <v>590</v>
      </c>
      <c r="M71" s="1" t="s">
        <v>75</v>
      </c>
      <c r="N71" s="4">
        <v>3.5</v>
      </c>
    </row>
    <row r="72" spans="1:14" x14ac:dyDescent="0.3">
      <c r="A72" s="3" t="s">
        <v>225</v>
      </c>
      <c r="B72" s="1" t="s">
        <v>226</v>
      </c>
      <c r="C72" s="1" t="s">
        <v>59</v>
      </c>
      <c r="D72" s="1" t="str">
        <f>_xlfn.XLOOKUP(Table14[[#This Row],[Restaurant ID]],Table2[Restaurant ID],Table2[Restaurant Name2],"Not Found",0)</f>
        <v>Food Junction</v>
      </c>
      <c r="E72" s="1" t="s">
        <v>36</v>
      </c>
      <c r="F72" s="12">
        <v>46305</v>
      </c>
      <c r="G72" s="12">
        <v>46305</v>
      </c>
      <c r="H72" s="12" t="str">
        <f>TEXT(Table14[[#This Row],[Delivery Date]],"dddd")</f>
        <v>Saturday</v>
      </c>
      <c r="I72" s="1" t="s">
        <v>42</v>
      </c>
      <c r="J72" s="1">
        <v>32</v>
      </c>
      <c r="K72" s="1">
        <v>40</v>
      </c>
      <c r="L72" s="1">
        <v>980</v>
      </c>
      <c r="M72" s="1" t="s">
        <v>17</v>
      </c>
      <c r="N72" s="4">
        <v>4.5</v>
      </c>
    </row>
    <row r="73" spans="1:14" x14ac:dyDescent="0.3">
      <c r="A73" s="3" t="s">
        <v>227</v>
      </c>
      <c r="B73" s="1" t="s">
        <v>228</v>
      </c>
      <c r="C73" s="1" t="s">
        <v>62</v>
      </c>
      <c r="D73" s="1" t="str">
        <f>_xlfn.XLOOKUP(Table14[[#This Row],[Restaurant ID]],Table2[Restaurant ID],Table2[Restaurant Name2],"Not Found",0)</f>
        <v>Wrap House</v>
      </c>
      <c r="E73" s="1" t="s">
        <v>41</v>
      </c>
      <c r="F73" s="12">
        <v>46306</v>
      </c>
      <c r="G73" s="12">
        <v>46306</v>
      </c>
      <c r="H73" s="12" t="str">
        <f>TEXT(Table14[[#This Row],[Delivery Date]],"dddd")</f>
        <v>Sunday</v>
      </c>
      <c r="I73" s="1" t="s">
        <v>46</v>
      </c>
      <c r="J73" s="1">
        <v>28</v>
      </c>
      <c r="K73" s="1">
        <v>35</v>
      </c>
      <c r="L73" s="1">
        <v>420</v>
      </c>
      <c r="M73" s="1" t="s">
        <v>17</v>
      </c>
      <c r="N73" s="4">
        <v>4</v>
      </c>
    </row>
    <row r="74" spans="1:14" x14ac:dyDescent="0.3">
      <c r="A74" s="3" t="s">
        <v>229</v>
      </c>
      <c r="B74" s="1" t="s">
        <v>230</v>
      </c>
      <c r="C74" s="1" t="s">
        <v>65</v>
      </c>
      <c r="D74" s="1" t="str">
        <f>_xlfn.XLOOKUP(Table14[[#This Row],[Restaurant ID]],Table2[Restaurant ID],Table2[Restaurant Name2],"Not Found",0)</f>
        <v>Curry Palace</v>
      </c>
      <c r="E74" s="1" t="s">
        <v>15</v>
      </c>
      <c r="F74" s="12">
        <v>46307</v>
      </c>
      <c r="G74" s="12">
        <v>46307</v>
      </c>
      <c r="H74" s="12" t="str">
        <f>TEXT(Table14[[#This Row],[Delivery Date]],"dddd")</f>
        <v>Monday</v>
      </c>
      <c r="I74" s="1" t="s">
        <v>16</v>
      </c>
      <c r="J74" s="1">
        <v>35</v>
      </c>
      <c r="K74" s="1">
        <v>45</v>
      </c>
      <c r="L74" s="1">
        <v>770</v>
      </c>
      <c r="M74" s="1" t="s">
        <v>17</v>
      </c>
      <c r="N74" s="4">
        <v>5</v>
      </c>
    </row>
    <row r="75" spans="1:14" x14ac:dyDescent="0.3">
      <c r="A75" s="3" t="s">
        <v>231</v>
      </c>
      <c r="B75" s="1" t="s">
        <v>232</v>
      </c>
      <c r="C75" s="1" t="s">
        <v>69</v>
      </c>
      <c r="D75" s="1" t="str">
        <f>_xlfn.XLOOKUP(Table14[[#This Row],[Restaurant ID]],Table2[Restaurant ID],Table2[Restaurant Name2],"Not Found",0)</f>
        <v>Momos Magic</v>
      </c>
      <c r="E75" s="1" t="s">
        <v>21</v>
      </c>
      <c r="F75" s="12">
        <v>46308</v>
      </c>
      <c r="G75" s="12">
        <v>46308</v>
      </c>
      <c r="H75" s="12" t="str">
        <f>TEXT(Table14[[#This Row],[Delivery Date]],"dddd")</f>
        <v>Tuesday</v>
      </c>
      <c r="I75" s="1" t="s">
        <v>22</v>
      </c>
      <c r="J75" s="1">
        <v>40</v>
      </c>
      <c r="K75" s="1">
        <v>50</v>
      </c>
      <c r="L75" s="1">
        <v>510</v>
      </c>
      <c r="M75" s="1" t="s">
        <v>17</v>
      </c>
      <c r="N75" s="4">
        <v>4</v>
      </c>
    </row>
    <row r="76" spans="1:14" x14ac:dyDescent="0.3">
      <c r="A76" s="3" t="s">
        <v>234</v>
      </c>
      <c r="B76" s="1" t="s">
        <v>235</v>
      </c>
      <c r="C76" s="1" t="s">
        <v>73</v>
      </c>
      <c r="D76" s="1" t="str">
        <f>_xlfn.XLOOKUP(Table14[[#This Row],[Restaurant ID]],Table2[Restaurant ID],Table2[Restaurant Name2],"Not Found",0)</f>
        <v>South Spice</v>
      </c>
      <c r="E76" s="1" t="s">
        <v>26</v>
      </c>
      <c r="F76" s="12">
        <v>46309</v>
      </c>
      <c r="G76" s="12">
        <v>46309</v>
      </c>
      <c r="H76" s="12" t="str">
        <f>TEXT(Table14[[#This Row],[Delivery Date]],"dddd")</f>
        <v>Wednesday</v>
      </c>
      <c r="I76" s="1" t="s">
        <v>27</v>
      </c>
      <c r="J76" s="1">
        <v>29</v>
      </c>
      <c r="K76" s="1">
        <v>35</v>
      </c>
      <c r="L76" s="1">
        <v>870</v>
      </c>
      <c r="M76" s="1" t="s">
        <v>17</v>
      </c>
      <c r="N76" s="4">
        <v>4.5</v>
      </c>
    </row>
    <row r="77" spans="1:14" x14ac:dyDescent="0.3">
      <c r="A77" s="3" t="s">
        <v>237</v>
      </c>
      <c r="B77" s="1" t="s">
        <v>238</v>
      </c>
      <c r="C77" s="1" t="s">
        <v>78</v>
      </c>
      <c r="D77" s="1" t="str">
        <f>_xlfn.XLOOKUP(Table14[[#This Row],[Restaurant ID]],Table2[Restaurant ID],Table2[Restaurant Name2],"Not Found",0)</f>
        <v>Pasta Street</v>
      </c>
      <c r="E77" s="1" t="s">
        <v>31</v>
      </c>
      <c r="F77" s="12">
        <v>46310</v>
      </c>
      <c r="G77" s="12">
        <v>46310</v>
      </c>
      <c r="H77" s="12" t="str">
        <f>TEXT(Table14[[#This Row],[Delivery Date]],"dddd")</f>
        <v>Thursday</v>
      </c>
      <c r="I77" s="1" t="s">
        <v>32</v>
      </c>
      <c r="J77" s="1">
        <v>33</v>
      </c>
      <c r="K77" s="1">
        <v>40</v>
      </c>
      <c r="L77" s="1">
        <v>630</v>
      </c>
      <c r="M77" s="1" t="s">
        <v>17</v>
      </c>
      <c r="N77" s="4">
        <v>4</v>
      </c>
    </row>
    <row r="78" spans="1:14" x14ac:dyDescent="0.3">
      <c r="A78" s="3" t="s">
        <v>240</v>
      </c>
      <c r="B78" s="1" t="s">
        <v>241</v>
      </c>
      <c r="C78" s="1" t="s">
        <v>82</v>
      </c>
      <c r="D78" s="1" t="str">
        <f>_xlfn.XLOOKUP(Table14[[#This Row],[Restaurant ID]],Table2[Restaurant ID],Table2[Restaurant Name2],"Not Found",0)</f>
        <v>Chaat Corner</v>
      </c>
      <c r="E78" s="1" t="s">
        <v>36</v>
      </c>
      <c r="F78" s="12">
        <v>46311</v>
      </c>
      <c r="G78" s="12">
        <v>46311</v>
      </c>
      <c r="H78" s="12" t="str">
        <f>TEXT(Table14[[#This Row],[Delivery Date]],"dddd")</f>
        <v>Friday</v>
      </c>
      <c r="I78" s="1" t="s">
        <v>531</v>
      </c>
      <c r="J78" s="1">
        <v>26</v>
      </c>
      <c r="K78" s="1">
        <v>30</v>
      </c>
      <c r="L78" s="1">
        <v>350</v>
      </c>
      <c r="M78" s="1" t="s">
        <v>17</v>
      </c>
      <c r="N78" s="4">
        <v>5</v>
      </c>
    </row>
    <row r="79" spans="1:14" x14ac:dyDescent="0.3">
      <c r="A79" s="3" t="s">
        <v>243</v>
      </c>
      <c r="B79" s="1" t="s">
        <v>244</v>
      </c>
      <c r="C79" s="1" t="s">
        <v>86</v>
      </c>
      <c r="D79" s="1" t="str">
        <f>_xlfn.XLOOKUP(Table14[[#This Row],[Restaurant ID]],Table2[Restaurant ID],Table2[Restaurant Name2],"Not Found",0)</f>
        <v>Grill Nation</v>
      </c>
      <c r="E79" s="1" t="s">
        <v>41</v>
      </c>
      <c r="F79" s="12">
        <v>46312</v>
      </c>
      <c r="G79" s="12">
        <v>46312</v>
      </c>
      <c r="H79" s="12" t="str">
        <f>TEXT(Table14[[#This Row],[Delivery Date]],"dddd")</f>
        <v>Saturday</v>
      </c>
      <c r="I79" s="1" t="s">
        <v>37</v>
      </c>
      <c r="J79" s="1">
        <v>42</v>
      </c>
      <c r="K79" s="1">
        <v>55</v>
      </c>
      <c r="L79" s="1">
        <v>950</v>
      </c>
      <c r="M79" s="1" t="s">
        <v>75</v>
      </c>
      <c r="N79" s="4">
        <v>3</v>
      </c>
    </row>
    <row r="80" spans="1:14" x14ac:dyDescent="0.3">
      <c r="A80" s="3" t="s">
        <v>246</v>
      </c>
      <c r="B80" s="1" t="s">
        <v>247</v>
      </c>
      <c r="C80" s="1" t="s">
        <v>90</v>
      </c>
      <c r="D80" s="1" t="str">
        <f>_xlfn.XLOOKUP(Table14[[#This Row],[Restaurant ID]],Table2[Restaurant ID],Table2[Restaurant Name2],"Not Found",0)</f>
        <v>Kebab Kitchen</v>
      </c>
      <c r="E80" s="1" t="s">
        <v>15</v>
      </c>
      <c r="F80" s="12">
        <v>46313</v>
      </c>
      <c r="G80" s="12">
        <v>46313</v>
      </c>
      <c r="H80" s="12" t="str">
        <f>TEXT(Table14[[#This Row],[Delivery Date]],"dddd")</f>
        <v>Sunday</v>
      </c>
      <c r="I80" s="1" t="s">
        <v>42</v>
      </c>
      <c r="J80" s="1">
        <v>31</v>
      </c>
      <c r="K80" s="1">
        <v>40</v>
      </c>
      <c r="L80" s="1">
        <v>720</v>
      </c>
      <c r="M80" s="1" t="s">
        <v>17</v>
      </c>
      <c r="N80" s="4">
        <v>4.5</v>
      </c>
    </row>
    <row r="81" spans="1:14" x14ac:dyDescent="0.3">
      <c r="A81" s="3" t="s">
        <v>249</v>
      </c>
      <c r="B81" s="1" t="s">
        <v>250</v>
      </c>
      <c r="C81" s="1" t="s">
        <v>94</v>
      </c>
      <c r="D81" s="1" t="str">
        <f>_xlfn.XLOOKUP(Table14[[#This Row],[Restaurant ID]],Table2[Restaurant ID],Table2[Restaurant Name2],"Not Found",0)</f>
        <v>Urban Tiffin</v>
      </c>
      <c r="E81" s="1" t="s">
        <v>21</v>
      </c>
      <c r="F81" s="12">
        <v>46314</v>
      </c>
      <c r="G81" s="12">
        <v>46314</v>
      </c>
      <c r="H81" s="12" t="str">
        <f>TEXT(Table14[[#This Row],[Delivery Date]],"dddd")</f>
        <v>Monday</v>
      </c>
      <c r="I81" s="1" t="s">
        <v>46</v>
      </c>
      <c r="J81" s="1">
        <v>38</v>
      </c>
      <c r="K81" s="1">
        <v>50</v>
      </c>
      <c r="L81" s="1">
        <v>570</v>
      </c>
      <c r="M81" s="1" t="s">
        <v>17</v>
      </c>
      <c r="N81" s="4">
        <v>4</v>
      </c>
    </row>
    <row r="82" spans="1:14" x14ac:dyDescent="0.3">
      <c r="A82" s="3" t="s">
        <v>252</v>
      </c>
      <c r="B82" s="1" t="s">
        <v>253</v>
      </c>
      <c r="C82" s="1" t="s">
        <v>14</v>
      </c>
      <c r="D82" s="1" t="str">
        <f>_xlfn.XLOOKUP(Table14[[#This Row],[Restaurant ID]],Table2[Restaurant ID],Table2[Restaurant Name2],"Not Found",0)</f>
        <v>Spice Villa</v>
      </c>
      <c r="E82" s="1" t="s">
        <v>26</v>
      </c>
      <c r="F82" s="12">
        <v>46315</v>
      </c>
      <c r="G82" s="12">
        <v>46315</v>
      </c>
      <c r="H82" s="12" t="str">
        <f>TEXT(Table14[[#This Row],[Delivery Date]],"dddd")</f>
        <v>Tuesday</v>
      </c>
      <c r="I82" s="1" t="s">
        <v>16</v>
      </c>
      <c r="J82" s="1">
        <v>27</v>
      </c>
      <c r="K82" s="1">
        <v>30</v>
      </c>
      <c r="L82" s="1">
        <v>490</v>
      </c>
      <c r="M82" s="1" t="s">
        <v>17</v>
      </c>
      <c r="N82" s="4">
        <v>4.5</v>
      </c>
    </row>
    <row r="83" spans="1:14" x14ac:dyDescent="0.3">
      <c r="A83" s="3" t="s">
        <v>255</v>
      </c>
      <c r="B83" s="1" t="s">
        <v>256</v>
      </c>
      <c r="C83" s="1" t="s">
        <v>20</v>
      </c>
      <c r="D83" s="1" t="str">
        <f>_xlfn.XLOOKUP(Table14[[#This Row],[Restaurant ID]],Table2[Restaurant ID],Table2[Restaurant Name2],"Not Found",0)</f>
        <v>Pizza Hub</v>
      </c>
      <c r="E83" s="1" t="s">
        <v>31</v>
      </c>
      <c r="F83" s="12">
        <v>46316</v>
      </c>
      <c r="G83" s="12">
        <v>46316</v>
      </c>
      <c r="H83" s="12" t="str">
        <f>TEXT(Table14[[#This Row],[Delivery Date]],"dddd")</f>
        <v>Wednesday</v>
      </c>
      <c r="I83" s="1" t="s">
        <v>22</v>
      </c>
      <c r="J83" s="1">
        <v>34</v>
      </c>
      <c r="K83" s="1">
        <v>40</v>
      </c>
      <c r="L83" s="1">
        <v>660</v>
      </c>
      <c r="M83" s="1" t="s">
        <v>17</v>
      </c>
      <c r="N83" s="4">
        <v>4</v>
      </c>
    </row>
    <row r="84" spans="1:14" x14ac:dyDescent="0.3">
      <c r="A84" s="3" t="s">
        <v>258</v>
      </c>
      <c r="B84" s="1" t="s">
        <v>259</v>
      </c>
      <c r="C84" s="1" t="s">
        <v>25</v>
      </c>
      <c r="D84" s="1" t="str">
        <f>_xlfn.XLOOKUP(Table14[[#This Row],[Restaurant ID]],Table2[Restaurant ID],Table2[Restaurant Name2],"Not Found",0)</f>
        <v>Tandoori House</v>
      </c>
      <c r="E84" s="1" t="s">
        <v>36</v>
      </c>
      <c r="F84" s="12">
        <v>46317</v>
      </c>
      <c r="G84" s="12">
        <v>46317</v>
      </c>
      <c r="H84" s="12" t="str">
        <f>TEXT(Table14[[#This Row],[Delivery Date]],"dddd")</f>
        <v>Thursday</v>
      </c>
      <c r="I84" s="1" t="s">
        <v>27</v>
      </c>
      <c r="J84" s="1">
        <v>45</v>
      </c>
      <c r="K84" s="1">
        <v>65</v>
      </c>
      <c r="L84" s="1">
        <v>820</v>
      </c>
      <c r="M84" s="1" t="s">
        <v>75</v>
      </c>
      <c r="N84" s="4">
        <v>3.5</v>
      </c>
    </row>
    <row r="85" spans="1:14" x14ac:dyDescent="0.3">
      <c r="A85" s="3" t="s">
        <v>261</v>
      </c>
      <c r="B85" s="1" t="s">
        <v>262</v>
      </c>
      <c r="C85" s="1" t="s">
        <v>30</v>
      </c>
      <c r="D85" s="1" t="str">
        <f>_xlfn.XLOOKUP(Table14[[#This Row],[Restaurant ID]],Table2[Restaurant ID],Table2[Restaurant Name2],"Not Found",0)</f>
        <v>Burger Point</v>
      </c>
      <c r="E85" s="1" t="s">
        <v>41</v>
      </c>
      <c r="F85" s="12">
        <v>46318</v>
      </c>
      <c r="G85" s="12">
        <v>46318</v>
      </c>
      <c r="H85" s="12" t="str">
        <f>TEXT(Table14[[#This Row],[Delivery Date]],"dddd")</f>
        <v>Friday</v>
      </c>
      <c r="I85" s="1" t="s">
        <v>32</v>
      </c>
      <c r="J85" s="1">
        <v>29</v>
      </c>
      <c r="K85" s="1">
        <v>35</v>
      </c>
      <c r="L85" s="1">
        <v>390</v>
      </c>
      <c r="M85" s="1" t="s">
        <v>17</v>
      </c>
      <c r="N85" s="4">
        <v>5</v>
      </c>
    </row>
    <row r="86" spans="1:14" x14ac:dyDescent="0.3">
      <c r="A86" s="3" t="s">
        <v>264</v>
      </c>
      <c r="B86" s="1" t="s">
        <v>265</v>
      </c>
      <c r="C86" s="1" t="s">
        <v>35</v>
      </c>
      <c r="D86" s="1" t="str">
        <f>_xlfn.XLOOKUP(Table14[[#This Row],[Restaurant ID]],Table2[Restaurant ID],Table2[Restaurant Name2],"Not Found",0)</f>
        <v>Dosa Corner</v>
      </c>
      <c r="E86" s="1" t="s">
        <v>15</v>
      </c>
      <c r="F86" s="12">
        <v>46319</v>
      </c>
      <c r="G86" s="12">
        <v>46319</v>
      </c>
      <c r="H86" s="12" t="str">
        <f>TEXT(Table14[[#This Row],[Delivery Date]],"dddd")</f>
        <v>Saturday</v>
      </c>
      <c r="I86" s="1" t="s">
        <v>37</v>
      </c>
      <c r="J86" s="1">
        <v>32</v>
      </c>
      <c r="K86" s="1">
        <v>40</v>
      </c>
      <c r="L86" s="1">
        <v>960</v>
      </c>
      <c r="M86" s="1" t="s">
        <v>17</v>
      </c>
      <c r="N86" s="4">
        <v>4.5</v>
      </c>
    </row>
    <row r="87" spans="1:14" x14ac:dyDescent="0.3">
      <c r="A87" s="3" t="s">
        <v>267</v>
      </c>
      <c r="B87" s="1" t="s">
        <v>268</v>
      </c>
      <c r="C87" s="1" t="s">
        <v>40</v>
      </c>
      <c r="D87" s="1" t="str">
        <f>_xlfn.XLOOKUP(Table14[[#This Row],[Restaurant ID]],Table2[Restaurant ID],Table2[Restaurant Name2],"Not Found",0)</f>
        <v>Biryani Express</v>
      </c>
      <c r="E87" s="1" t="s">
        <v>21</v>
      </c>
      <c r="F87" s="12">
        <v>46320</v>
      </c>
      <c r="G87" s="12">
        <v>46320</v>
      </c>
      <c r="H87" s="12" t="str">
        <f>TEXT(Table14[[#This Row],[Delivery Date]],"dddd")</f>
        <v>Sunday</v>
      </c>
      <c r="I87" s="1" t="s">
        <v>42</v>
      </c>
      <c r="J87" s="1">
        <v>39</v>
      </c>
      <c r="K87" s="1">
        <v>50</v>
      </c>
      <c r="L87" s="1">
        <v>680</v>
      </c>
      <c r="M87" s="1" t="s">
        <v>17</v>
      </c>
      <c r="N87" s="4">
        <v>4</v>
      </c>
    </row>
    <row r="88" spans="1:14" x14ac:dyDescent="0.3">
      <c r="A88" s="3" t="s">
        <v>270</v>
      </c>
      <c r="B88" s="1" t="s">
        <v>271</v>
      </c>
      <c r="C88" s="1" t="s">
        <v>45</v>
      </c>
      <c r="D88" s="1" t="str">
        <f>_xlfn.XLOOKUP(Table14[[#This Row],[Restaurant ID]],Table2[Restaurant ID],Table2[Restaurant Name2],"Not Found",0)</f>
        <v>Green Leaf</v>
      </c>
      <c r="E88" s="1" t="s">
        <v>26</v>
      </c>
      <c r="F88" s="12">
        <v>46321</v>
      </c>
      <c r="G88" s="12">
        <v>46321</v>
      </c>
      <c r="H88" s="12" t="str">
        <f>TEXT(Table14[[#This Row],[Delivery Date]],"dddd")</f>
        <v>Monday</v>
      </c>
      <c r="I88" s="1" t="s">
        <v>46</v>
      </c>
      <c r="J88" s="1">
        <v>25</v>
      </c>
      <c r="K88" s="1">
        <v>30</v>
      </c>
      <c r="L88" s="1">
        <v>540</v>
      </c>
      <c r="M88" s="1" t="s">
        <v>17</v>
      </c>
      <c r="N88" s="4">
        <v>4.5</v>
      </c>
    </row>
    <row r="89" spans="1:14" x14ac:dyDescent="0.3">
      <c r="A89" s="3" t="s">
        <v>273</v>
      </c>
      <c r="B89" s="1" t="s">
        <v>274</v>
      </c>
      <c r="C89" s="1" t="s">
        <v>49</v>
      </c>
      <c r="D89" s="1" t="str">
        <f>_xlfn.XLOOKUP(Table14[[#This Row],[Restaurant ID]],Table2[Restaurant ID],Table2[Restaurant Name2],"Not Found",0)</f>
        <v>Cafe Aroma</v>
      </c>
      <c r="E89" s="1" t="s">
        <v>31</v>
      </c>
      <c r="F89" s="12">
        <v>46322</v>
      </c>
      <c r="G89" s="12">
        <v>46322</v>
      </c>
      <c r="H89" s="12" t="str">
        <f>TEXT(Table14[[#This Row],[Delivery Date]],"dddd")</f>
        <v>Tuesday</v>
      </c>
      <c r="I89" s="1" t="s">
        <v>16</v>
      </c>
      <c r="J89" s="1">
        <v>37</v>
      </c>
      <c r="K89" s="1">
        <v>45</v>
      </c>
      <c r="L89" s="1">
        <v>460</v>
      </c>
      <c r="M89" s="1" t="s">
        <v>17</v>
      </c>
      <c r="N89" s="4">
        <v>4</v>
      </c>
    </row>
    <row r="90" spans="1:14" x14ac:dyDescent="0.3">
      <c r="A90" s="3" t="s">
        <v>276</v>
      </c>
      <c r="B90" s="1" t="s">
        <v>277</v>
      </c>
      <c r="C90" s="1" t="s">
        <v>52</v>
      </c>
      <c r="D90" s="1" t="str">
        <f>_xlfn.XLOOKUP(Table14[[#This Row],[Restaurant ID]],Table2[Restaurant ID],Table2[Restaurant Name2],"Not Found",0)</f>
        <v>Royal Thali</v>
      </c>
      <c r="E90" s="1" t="s">
        <v>36</v>
      </c>
      <c r="F90" s="12">
        <v>46323</v>
      </c>
      <c r="G90" s="12">
        <v>46323</v>
      </c>
      <c r="H90" s="12" t="str">
        <f>TEXT(Table14[[#This Row],[Delivery Date]],"dddd")</f>
        <v>Wednesday</v>
      </c>
      <c r="I90" s="1" t="s">
        <v>22</v>
      </c>
      <c r="J90" s="1">
        <v>30</v>
      </c>
      <c r="K90" s="1">
        <v>35</v>
      </c>
      <c r="L90" s="1">
        <v>730</v>
      </c>
      <c r="M90" s="1" t="s">
        <v>17</v>
      </c>
      <c r="N90" s="4">
        <v>5</v>
      </c>
    </row>
    <row r="91" spans="1:14" x14ac:dyDescent="0.3">
      <c r="A91" s="3" t="s">
        <v>279</v>
      </c>
      <c r="B91" s="1" t="s">
        <v>280</v>
      </c>
      <c r="C91" s="1" t="s">
        <v>55</v>
      </c>
      <c r="D91" s="1" t="str">
        <f>_xlfn.XLOOKUP(Table14[[#This Row],[Restaurant ID]],Table2[Restaurant ID],Table2[Restaurant Name2],"Not Found",0)</f>
        <v>Chinese Wok</v>
      </c>
      <c r="E91" s="1" t="s">
        <v>41</v>
      </c>
      <c r="F91" s="12">
        <v>46324</v>
      </c>
      <c r="G91" s="12">
        <v>46324</v>
      </c>
      <c r="H91" s="12" t="str">
        <f>TEXT(Table14[[#This Row],[Delivery Date]],"dddd")</f>
        <v>Thursday</v>
      </c>
      <c r="I91" s="1" t="s">
        <v>531</v>
      </c>
      <c r="J91" s="1">
        <v>43</v>
      </c>
      <c r="K91" s="1">
        <v>60</v>
      </c>
      <c r="L91" s="1">
        <v>600</v>
      </c>
      <c r="M91" s="1" t="s">
        <v>75</v>
      </c>
      <c r="N91" s="4">
        <v>3</v>
      </c>
    </row>
    <row r="92" spans="1:14" x14ac:dyDescent="0.3">
      <c r="A92" s="3" t="s">
        <v>282</v>
      </c>
      <c r="B92" s="1" t="s">
        <v>283</v>
      </c>
      <c r="C92" s="1" t="s">
        <v>59</v>
      </c>
      <c r="D92" s="1" t="str">
        <f>_xlfn.XLOOKUP(Table14[[#This Row],[Restaurant ID]],Table2[Restaurant ID],Table2[Restaurant Name2],"Not Found",0)</f>
        <v>Food Junction</v>
      </c>
      <c r="E92" s="1" t="s">
        <v>15</v>
      </c>
      <c r="F92" s="12">
        <v>46325</v>
      </c>
      <c r="G92" s="12">
        <v>46325</v>
      </c>
      <c r="H92" s="12" t="str">
        <f>TEXT(Table14[[#This Row],[Delivery Date]],"dddd")</f>
        <v>Friday</v>
      </c>
      <c r="I92" s="1" t="s">
        <v>27</v>
      </c>
      <c r="J92" s="1">
        <v>28</v>
      </c>
      <c r="K92" s="1">
        <v>35</v>
      </c>
      <c r="L92" s="1">
        <v>990</v>
      </c>
      <c r="M92" s="1" t="s">
        <v>17</v>
      </c>
      <c r="N92" s="4">
        <v>4.5</v>
      </c>
    </row>
    <row r="93" spans="1:14" x14ac:dyDescent="0.3">
      <c r="A93" s="3" t="s">
        <v>285</v>
      </c>
      <c r="B93" s="1" t="s">
        <v>286</v>
      </c>
      <c r="C93" s="1" t="s">
        <v>62</v>
      </c>
      <c r="D93" s="1" t="str">
        <f>_xlfn.XLOOKUP(Table14[[#This Row],[Restaurant ID]],Table2[Restaurant ID],Table2[Restaurant Name2],"Not Found",0)</f>
        <v>Wrap House</v>
      </c>
      <c r="E93" s="1" t="s">
        <v>21</v>
      </c>
      <c r="F93" s="12">
        <v>46326</v>
      </c>
      <c r="G93" s="12">
        <v>46326</v>
      </c>
      <c r="H93" s="12" t="str">
        <f>TEXT(Table14[[#This Row],[Delivery Date]],"dddd")</f>
        <v>Saturday</v>
      </c>
      <c r="I93" s="1" t="s">
        <v>32</v>
      </c>
      <c r="J93" s="1">
        <v>36</v>
      </c>
      <c r="K93" s="1">
        <v>45</v>
      </c>
      <c r="L93" s="1">
        <v>430</v>
      </c>
      <c r="M93" s="1" t="s">
        <v>17</v>
      </c>
      <c r="N93" s="4">
        <v>4</v>
      </c>
    </row>
    <row r="94" spans="1:14" x14ac:dyDescent="0.3">
      <c r="A94" s="3" t="s">
        <v>288</v>
      </c>
      <c r="B94" s="1" t="s">
        <v>289</v>
      </c>
      <c r="C94" s="1" t="s">
        <v>65</v>
      </c>
      <c r="D94" s="1" t="str">
        <f>_xlfn.XLOOKUP(Table14[[#This Row],[Restaurant ID]],Table2[Restaurant ID],Table2[Restaurant Name2],"Not Found",0)</f>
        <v>Curry Palace</v>
      </c>
      <c r="E94" s="1" t="s">
        <v>26</v>
      </c>
      <c r="F94" s="12">
        <v>46327</v>
      </c>
      <c r="G94" s="12">
        <v>46327</v>
      </c>
      <c r="H94" s="12" t="str">
        <f>TEXT(Table14[[#This Row],[Delivery Date]],"dddd")</f>
        <v>Sunday</v>
      </c>
      <c r="I94" s="1" t="s">
        <v>37</v>
      </c>
      <c r="J94" s="1">
        <v>31</v>
      </c>
      <c r="K94" s="1">
        <v>40</v>
      </c>
      <c r="L94" s="1">
        <v>790</v>
      </c>
      <c r="M94" s="1" t="s">
        <v>17</v>
      </c>
      <c r="N94" s="4">
        <v>5</v>
      </c>
    </row>
    <row r="95" spans="1:14" x14ac:dyDescent="0.3">
      <c r="A95" s="3" t="s">
        <v>290</v>
      </c>
      <c r="B95" s="1" t="s">
        <v>291</v>
      </c>
      <c r="C95" s="1" t="s">
        <v>69</v>
      </c>
      <c r="D95" s="1" t="str">
        <f>_xlfn.XLOOKUP(Table14[[#This Row],[Restaurant ID]],Table2[Restaurant ID],Table2[Restaurant Name2],"Not Found",0)</f>
        <v>Momos Magic</v>
      </c>
      <c r="E95" s="1" t="s">
        <v>31</v>
      </c>
      <c r="F95" s="12">
        <v>46328</v>
      </c>
      <c r="G95" s="12">
        <v>46328</v>
      </c>
      <c r="H95" s="12" t="str">
        <f>TEXT(Table14[[#This Row],[Delivery Date]],"dddd")</f>
        <v>Monday</v>
      </c>
      <c r="I95" s="1" t="s">
        <v>42</v>
      </c>
      <c r="J95" s="1">
        <v>41</v>
      </c>
      <c r="K95" s="1">
        <v>55</v>
      </c>
      <c r="L95" s="1">
        <v>520</v>
      </c>
      <c r="M95" s="1" t="s">
        <v>17</v>
      </c>
      <c r="N95" s="4">
        <v>4</v>
      </c>
    </row>
    <row r="96" spans="1:14" x14ac:dyDescent="0.3">
      <c r="A96" s="3" t="s">
        <v>292</v>
      </c>
      <c r="B96" s="1" t="s">
        <v>293</v>
      </c>
      <c r="C96" s="1" t="s">
        <v>73</v>
      </c>
      <c r="D96" s="1" t="str">
        <f>_xlfn.XLOOKUP(Table14[[#This Row],[Restaurant ID]],Table2[Restaurant ID],Table2[Restaurant Name2],"Not Found",0)</f>
        <v>South Spice</v>
      </c>
      <c r="E96" s="1" t="s">
        <v>36</v>
      </c>
      <c r="F96" s="12">
        <v>46329</v>
      </c>
      <c r="G96" s="12">
        <v>46329</v>
      </c>
      <c r="H96" s="12" t="str">
        <f>TEXT(Table14[[#This Row],[Delivery Date]],"dddd")</f>
        <v>Tuesday</v>
      </c>
      <c r="I96" s="1" t="s">
        <v>46</v>
      </c>
      <c r="J96" s="1">
        <v>27</v>
      </c>
      <c r="K96" s="1">
        <v>30</v>
      </c>
      <c r="L96" s="1">
        <v>890</v>
      </c>
      <c r="M96" s="1" t="s">
        <v>17</v>
      </c>
      <c r="N96" s="4">
        <v>4.5</v>
      </c>
    </row>
    <row r="97" spans="1:14" x14ac:dyDescent="0.3">
      <c r="A97" s="3" t="s">
        <v>294</v>
      </c>
      <c r="B97" s="1" t="s">
        <v>295</v>
      </c>
      <c r="C97" s="1" t="s">
        <v>78</v>
      </c>
      <c r="D97" s="1" t="str">
        <f>_xlfn.XLOOKUP(Table14[[#This Row],[Restaurant ID]],Table2[Restaurant ID],Table2[Restaurant Name2],"Not Found",0)</f>
        <v>Pasta Street</v>
      </c>
      <c r="E97" s="1" t="s">
        <v>41</v>
      </c>
      <c r="F97" s="12">
        <v>46330</v>
      </c>
      <c r="G97" s="12">
        <v>46330</v>
      </c>
      <c r="H97" s="12" t="str">
        <f>TEXT(Table14[[#This Row],[Delivery Date]],"dddd")</f>
        <v>Wednesday</v>
      </c>
      <c r="I97" s="1" t="s">
        <v>16</v>
      </c>
      <c r="J97" s="1">
        <v>34</v>
      </c>
      <c r="K97" s="1">
        <v>40</v>
      </c>
      <c r="L97" s="1">
        <v>650</v>
      </c>
      <c r="M97" s="1" t="s">
        <v>17</v>
      </c>
      <c r="N97" s="4">
        <v>4</v>
      </c>
    </row>
    <row r="98" spans="1:14" x14ac:dyDescent="0.3">
      <c r="A98" s="3" t="s">
        <v>296</v>
      </c>
      <c r="B98" s="1" t="s">
        <v>297</v>
      </c>
      <c r="C98" s="1" t="s">
        <v>82</v>
      </c>
      <c r="D98" s="1" t="str">
        <f>_xlfn.XLOOKUP(Table14[[#This Row],[Restaurant ID]],Table2[Restaurant ID],Table2[Restaurant Name2],"Not Found",0)</f>
        <v>Chaat Corner</v>
      </c>
      <c r="E98" s="1" t="s">
        <v>15</v>
      </c>
      <c r="F98" s="12">
        <v>46331</v>
      </c>
      <c r="G98" s="12">
        <v>46331</v>
      </c>
      <c r="H98" s="12" t="str">
        <f>TEXT(Table14[[#This Row],[Delivery Date]],"dddd")</f>
        <v>Thursday</v>
      </c>
      <c r="I98" s="1" t="s">
        <v>22</v>
      </c>
      <c r="J98" s="1">
        <v>24</v>
      </c>
      <c r="K98" s="1">
        <v>30</v>
      </c>
      <c r="L98" s="1">
        <v>360</v>
      </c>
      <c r="M98" s="1" t="s">
        <v>17</v>
      </c>
      <c r="N98" s="4">
        <v>5</v>
      </c>
    </row>
    <row r="99" spans="1:14" x14ac:dyDescent="0.3">
      <c r="A99" s="3" t="s">
        <v>298</v>
      </c>
      <c r="B99" s="1" t="s">
        <v>299</v>
      </c>
      <c r="C99" s="1" t="s">
        <v>86</v>
      </c>
      <c r="D99" s="1" t="str">
        <f>_xlfn.XLOOKUP(Table14[[#This Row],[Restaurant ID]],Table2[Restaurant ID],Table2[Restaurant Name2],"Not Found",0)</f>
        <v>Grill Nation</v>
      </c>
      <c r="E99" s="1" t="s">
        <v>21</v>
      </c>
      <c r="F99" s="12">
        <v>46332</v>
      </c>
      <c r="G99" s="12">
        <v>46332</v>
      </c>
      <c r="H99" s="12" t="str">
        <f>TEXT(Table14[[#This Row],[Delivery Date]],"dddd")</f>
        <v>Friday</v>
      </c>
      <c r="I99" s="1" t="s">
        <v>27</v>
      </c>
      <c r="J99" s="1">
        <v>40</v>
      </c>
      <c r="K99" s="1">
        <v>50</v>
      </c>
      <c r="L99" s="1">
        <v>970</v>
      </c>
      <c r="M99" s="1" t="s">
        <v>75</v>
      </c>
      <c r="N99" s="4">
        <v>3.5</v>
      </c>
    </row>
    <row r="100" spans="1:14" x14ac:dyDescent="0.3">
      <c r="A100" s="3" t="s">
        <v>300</v>
      </c>
      <c r="B100" s="1" t="s">
        <v>301</v>
      </c>
      <c r="C100" s="1" t="s">
        <v>90</v>
      </c>
      <c r="D100" s="1" t="str">
        <f>_xlfn.XLOOKUP(Table14[[#This Row],[Restaurant ID]],Table2[Restaurant ID],Table2[Restaurant Name2],"Not Found",0)</f>
        <v>Kebab Kitchen</v>
      </c>
      <c r="E100" s="1" t="s">
        <v>26</v>
      </c>
      <c r="F100" s="12">
        <v>46333</v>
      </c>
      <c r="G100" s="12">
        <v>46333</v>
      </c>
      <c r="H100" s="12" t="str">
        <f>TEXT(Table14[[#This Row],[Delivery Date]],"dddd")</f>
        <v>Saturday</v>
      </c>
      <c r="I100" s="1" t="s">
        <v>32</v>
      </c>
      <c r="J100" s="1">
        <v>29</v>
      </c>
      <c r="K100" s="1">
        <v>35</v>
      </c>
      <c r="L100" s="1">
        <v>740</v>
      </c>
      <c r="M100" s="1" t="s">
        <v>17</v>
      </c>
      <c r="N100" s="4">
        <v>4.5</v>
      </c>
    </row>
    <row r="101" spans="1:14" x14ac:dyDescent="0.3">
      <c r="A101" s="3" t="s">
        <v>302</v>
      </c>
      <c r="B101" s="1" t="s">
        <v>303</v>
      </c>
      <c r="C101" s="1" t="s">
        <v>94</v>
      </c>
      <c r="D101" s="1" t="str">
        <f>_xlfn.XLOOKUP(Table14[[#This Row],[Restaurant ID]],Table2[Restaurant ID],Table2[Restaurant Name2],"Not Found",0)</f>
        <v>Urban Tiffin</v>
      </c>
      <c r="E101" s="1" t="s">
        <v>31</v>
      </c>
      <c r="F101" s="12">
        <v>46334</v>
      </c>
      <c r="G101" s="12">
        <v>46334</v>
      </c>
      <c r="H101" s="12" t="str">
        <f>TEXT(Table14[[#This Row],[Delivery Date]],"dddd")</f>
        <v>Sunday</v>
      </c>
      <c r="I101" s="1" t="s">
        <v>37</v>
      </c>
      <c r="J101" s="1">
        <v>38</v>
      </c>
      <c r="K101" s="1">
        <v>50</v>
      </c>
      <c r="L101" s="1">
        <v>580</v>
      </c>
      <c r="M101" s="1" t="s">
        <v>17</v>
      </c>
      <c r="N101" s="4">
        <v>4</v>
      </c>
    </row>
    <row r="102" spans="1:14" x14ac:dyDescent="0.3">
      <c r="A102" s="3" t="s">
        <v>304</v>
      </c>
      <c r="B102" s="1" t="s">
        <v>305</v>
      </c>
      <c r="C102" s="1" t="s">
        <v>14</v>
      </c>
      <c r="D102" s="1" t="str">
        <f>_xlfn.XLOOKUP(Table14[[#This Row],[Restaurant ID]],Table2[Restaurant ID],Table2[Restaurant Name2],"Not Found",0)</f>
        <v>Spice Villa</v>
      </c>
      <c r="E102" s="1" t="s">
        <v>36</v>
      </c>
      <c r="F102" s="12">
        <v>46335</v>
      </c>
      <c r="G102" s="12">
        <v>46335</v>
      </c>
      <c r="H102" s="12" t="str">
        <f>TEXT(Table14[[#This Row],[Delivery Date]],"dddd")</f>
        <v>Monday</v>
      </c>
      <c r="I102" s="1" t="s">
        <v>42</v>
      </c>
      <c r="J102" s="1">
        <v>33</v>
      </c>
      <c r="K102" s="1">
        <v>40</v>
      </c>
      <c r="L102" s="1">
        <v>500</v>
      </c>
      <c r="M102" s="1" t="s">
        <v>17</v>
      </c>
      <c r="N102" s="4">
        <v>4.5</v>
      </c>
    </row>
    <row r="103" spans="1:14" x14ac:dyDescent="0.3">
      <c r="A103" s="3" t="s">
        <v>306</v>
      </c>
      <c r="B103" s="1" t="s">
        <v>307</v>
      </c>
      <c r="C103" s="1" t="s">
        <v>20</v>
      </c>
      <c r="D103" s="1" t="str">
        <f>_xlfn.XLOOKUP(Table14[[#This Row],[Restaurant ID]],Table2[Restaurant ID],Table2[Restaurant Name2],"Not Found",0)</f>
        <v>Pizza Hub</v>
      </c>
      <c r="E103" s="1" t="s">
        <v>41</v>
      </c>
      <c r="F103" s="12">
        <v>46336</v>
      </c>
      <c r="G103" s="12">
        <v>46336</v>
      </c>
      <c r="H103" s="12" t="str">
        <f>TEXT(Table14[[#This Row],[Delivery Date]],"dddd")</f>
        <v>Tuesday</v>
      </c>
      <c r="I103" s="1" t="s">
        <v>46</v>
      </c>
      <c r="J103" s="1">
        <v>26</v>
      </c>
      <c r="K103" s="1">
        <v>30</v>
      </c>
      <c r="L103" s="1">
        <v>670</v>
      </c>
      <c r="M103" s="1" t="s">
        <v>17</v>
      </c>
      <c r="N103" s="4">
        <v>5</v>
      </c>
    </row>
    <row r="104" spans="1:14" x14ac:dyDescent="0.3">
      <c r="A104" s="3" t="s">
        <v>308</v>
      </c>
      <c r="B104" s="1" t="s">
        <v>309</v>
      </c>
      <c r="C104" s="1" t="s">
        <v>25</v>
      </c>
      <c r="D104" s="1" t="str">
        <f>_xlfn.XLOOKUP(Table14[[#This Row],[Restaurant ID]],Table2[Restaurant ID],Table2[Restaurant Name2],"Not Found",0)</f>
        <v>Tandoori House</v>
      </c>
      <c r="E104" s="1" t="s">
        <v>15</v>
      </c>
      <c r="F104" s="12">
        <v>46337</v>
      </c>
      <c r="G104" s="12">
        <v>46337</v>
      </c>
      <c r="H104" s="12" t="str">
        <f>TEXT(Table14[[#This Row],[Delivery Date]],"dddd")</f>
        <v>Wednesday</v>
      </c>
      <c r="I104" s="1" t="s">
        <v>16</v>
      </c>
      <c r="J104" s="1">
        <v>39</v>
      </c>
      <c r="K104" s="1">
        <v>50</v>
      </c>
      <c r="L104" s="1">
        <v>840</v>
      </c>
      <c r="M104" s="1" t="s">
        <v>17</v>
      </c>
      <c r="N104" s="4">
        <v>4</v>
      </c>
    </row>
    <row r="105" spans="1:14" x14ac:dyDescent="0.3">
      <c r="A105" s="3" t="s">
        <v>310</v>
      </c>
      <c r="B105" s="1" t="s">
        <v>311</v>
      </c>
      <c r="C105" s="1" t="s">
        <v>30</v>
      </c>
      <c r="D105" s="1" t="str">
        <f>_xlfn.XLOOKUP(Table14[[#This Row],[Restaurant ID]],Table2[Restaurant ID],Table2[Restaurant Name2],"Not Found",0)</f>
        <v>Burger Point</v>
      </c>
      <c r="E105" s="1" t="s">
        <v>21</v>
      </c>
      <c r="F105" s="12">
        <v>46338</v>
      </c>
      <c r="G105" s="12">
        <v>46338</v>
      </c>
      <c r="H105" s="12" t="str">
        <f>TEXT(Table14[[#This Row],[Delivery Date]],"dddd")</f>
        <v>Thursday</v>
      </c>
      <c r="I105" s="1" t="s">
        <v>531</v>
      </c>
      <c r="J105" s="1">
        <v>28</v>
      </c>
      <c r="K105" s="1">
        <v>35</v>
      </c>
      <c r="L105" s="1">
        <v>410</v>
      </c>
      <c r="M105" s="1" t="s">
        <v>17</v>
      </c>
      <c r="N105" s="4">
        <v>4.5</v>
      </c>
    </row>
    <row r="106" spans="1:14" x14ac:dyDescent="0.3">
      <c r="A106" s="3" t="s">
        <v>312</v>
      </c>
      <c r="B106" s="1" t="s">
        <v>313</v>
      </c>
      <c r="C106" s="1" t="s">
        <v>35</v>
      </c>
      <c r="D106" s="1" t="str">
        <f>_xlfn.XLOOKUP(Table14[[#This Row],[Restaurant ID]],Table2[Restaurant ID],Table2[Restaurant Name2],"Not Found",0)</f>
        <v>Dosa Corner</v>
      </c>
      <c r="E106" s="1" t="s">
        <v>26</v>
      </c>
      <c r="F106" s="12">
        <v>46339</v>
      </c>
      <c r="G106" s="12">
        <v>46339</v>
      </c>
      <c r="H106" s="12" t="str">
        <f>TEXT(Table14[[#This Row],[Delivery Date]],"dddd")</f>
        <v>Friday</v>
      </c>
      <c r="I106" s="1" t="s">
        <v>22</v>
      </c>
      <c r="J106" s="1">
        <v>35</v>
      </c>
      <c r="K106" s="1">
        <v>45</v>
      </c>
      <c r="L106" s="1">
        <v>930</v>
      </c>
      <c r="M106" s="1" t="s">
        <v>17</v>
      </c>
      <c r="N106" s="4">
        <v>4</v>
      </c>
    </row>
    <row r="107" spans="1:14" x14ac:dyDescent="0.3">
      <c r="A107" s="3" t="s">
        <v>315</v>
      </c>
      <c r="B107" s="1" t="s">
        <v>316</v>
      </c>
      <c r="C107" s="1" t="s">
        <v>40</v>
      </c>
      <c r="D107" s="1" t="str">
        <f>_xlfn.XLOOKUP(Table14[[#This Row],[Restaurant ID]],Table2[Restaurant ID],Table2[Restaurant Name2],"Not Found",0)</f>
        <v>Biryani Express</v>
      </c>
      <c r="E107" s="1" t="s">
        <v>31</v>
      </c>
      <c r="F107" s="12">
        <v>46340</v>
      </c>
      <c r="G107" s="12">
        <v>46340</v>
      </c>
      <c r="H107" s="12" t="str">
        <f>TEXT(Table14[[#This Row],[Delivery Date]],"dddd")</f>
        <v>Saturday</v>
      </c>
      <c r="I107" s="1" t="s">
        <v>27</v>
      </c>
      <c r="J107" s="1">
        <v>44</v>
      </c>
      <c r="K107" s="1">
        <v>60</v>
      </c>
      <c r="L107" s="1">
        <v>700</v>
      </c>
      <c r="M107" s="1" t="s">
        <v>75</v>
      </c>
      <c r="N107" s="4">
        <v>3</v>
      </c>
    </row>
    <row r="108" spans="1:14" x14ac:dyDescent="0.3">
      <c r="A108" s="3" t="s">
        <v>318</v>
      </c>
      <c r="B108" s="1" t="s">
        <v>319</v>
      </c>
      <c r="C108" s="1" t="s">
        <v>45</v>
      </c>
      <c r="D108" s="1" t="str">
        <f>_xlfn.XLOOKUP(Table14[[#This Row],[Restaurant ID]],Table2[Restaurant ID],Table2[Restaurant Name2],"Not Found",0)</f>
        <v>Green Leaf</v>
      </c>
      <c r="E108" s="1" t="s">
        <v>36</v>
      </c>
      <c r="F108" s="12">
        <v>46341</v>
      </c>
      <c r="G108" s="12">
        <v>46341</v>
      </c>
      <c r="H108" s="12" t="str">
        <f>TEXT(Table14[[#This Row],[Delivery Date]],"dddd")</f>
        <v>Sunday</v>
      </c>
      <c r="I108" s="1" t="s">
        <v>32</v>
      </c>
      <c r="J108" s="1">
        <v>30</v>
      </c>
      <c r="K108" s="1">
        <v>35</v>
      </c>
      <c r="L108" s="1">
        <v>550</v>
      </c>
      <c r="M108" s="1" t="s">
        <v>17</v>
      </c>
      <c r="N108" s="4">
        <v>4.5</v>
      </c>
    </row>
    <row r="109" spans="1:14" x14ac:dyDescent="0.3">
      <c r="A109" s="3" t="s">
        <v>321</v>
      </c>
      <c r="B109" s="1" t="s">
        <v>322</v>
      </c>
      <c r="C109" s="1" t="s">
        <v>49</v>
      </c>
      <c r="D109" s="1" t="str">
        <f>_xlfn.XLOOKUP(Table14[[#This Row],[Restaurant ID]],Table2[Restaurant ID],Table2[Restaurant Name2],"Not Found",0)</f>
        <v>Cafe Aroma</v>
      </c>
      <c r="E109" s="1" t="s">
        <v>41</v>
      </c>
      <c r="F109" s="12">
        <v>46342</v>
      </c>
      <c r="G109" s="12">
        <v>46342</v>
      </c>
      <c r="H109" s="12" t="str">
        <f>TEXT(Table14[[#This Row],[Delivery Date]],"dddd")</f>
        <v>Monday</v>
      </c>
      <c r="I109" s="1" t="s">
        <v>37</v>
      </c>
      <c r="J109" s="1">
        <v>32</v>
      </c>
      <c r="K109" s="1">
        <v>40</v>
      </c>
      <c r="L109" s="1">
        <v>470</v>
      </c>
      <c r="M109" s="1" t="s">
        <v>17</v>
      </c>
      <c r="N109" s="4">
        <v>4</v>
      </c>
    </row>
    <row r="110" spans="1:14" x14ac:dyDescent="0.3">
      <c r="A110" s="3" t="s">
        <v>324</v>
      </c>
      <c r="B110" s="1" t="s">
        <v>325</v>
      </c>
      <c r="C110" s="1" t="s">
        <v>52</v>
      </c>
      <c r="D110" s="1" t="str">
        <f>_xlfn.XLOOKUP(Table14[[#This Row],[Restaurant ID]],Table2[Restaurant ID],Table2[Restaurant Name2],"Not Found",0)</f>
        <v>Royal Thali</v>
      </c>
      <c r="E110" s="1" t="s">
        <v>15</v>
      </c>
      <c r="F110" s="12">
        <v>46343</v>
      </c>
      <c r="G110" s="12">
        <v>46343</v>
      </c>
      <c r="H110" s="12" t="str">
        <f>TEXT(Table14[[#This Row],[Delivery Date]],"dddd")</f>
        <v>Tuesday</v>
      </c>
      <c r="I110" s="1" t="s">
        <v>42</v>
      </c>
      <c r="J110" s="1">
        <v>27</v>
      </c>
      <c r="K110" s="1">
        <v>30</v>
      </c>
      <c r="L110" s="1">
        <v>760</v>
      </c>
      <c r="M110" s="1" t="s">
        <v>17</v>
      </c>
      <c r="N110" s="4">
        <v>5</v>
      </c>
    </row>
    <row r="111" spans="1:14" x14ac:dyDescent="0.3">
      <c r="A111" s="3" t="s">
        <v>327</v>
      </c>
      <c r="B111" s="1" t="s">
        <v>328</v>
      </c>
      <c r="C111" s="1" t="s">
        <v>55</v>
      </c>
      <c r="D111" s="1" t="str">
        <f>_xlfn.XLOOKUP(Table14[[#This Row],[Restaurant ID]],Table2[Restaurant ID],Table2[Restaurant Name2],"Not Found",0)</f>
        <v>Chinese Wok</v>
      </c>
      <c r="E111" s="1" t="s">
        <v>21</v>
      </c>
      <c r="F111" s="12">
        <v>46344</v>
      </c>
      <c r="G111" s="12">
        <v>46344</v>
      </c>
      <c r="H111" s="12" t="str">
        <f>TEXT(Table14[[#This Row],[Delivery Date]],"dddd")</f>
        <v>Wednesday</v>
      </c>
      <c r="I111" s="1" t="s">
        <v>46</v>
      </c>
      <c r="J111" s="1">
        <v>41</v>
      </c>
      <c r="K111" s="1">
        <v>55</v>
      </c>
      <c r="L111" s="1">
        <v>610</v>
      </c>
      <c r="M111" s="1" t="s">
        <v>17</v>
      </c>
      <c r="N111" s="4">
        <v>3.5</v>
      </c>
    </row>
    <row r="112" spans="1:14" x14ac:dyDescent="0.3">
      <c r="A112" s="3" t="s">
        <v>330</v>
      </c>
      <c r="B112" s="1" t="s">
        <v>331</v>
      </c>
      <c r="C112" s="1" t="s">
        <v>59</v>
      </c>
      <c r="D112" s="1" t="str">
        <f>_xlfn.XLOOKUP(Table14[[#This Row],[Restaurant ID]],Table2[Restaurant ID],Table2[Restaurant Name2],"Not Found",0)</f>
        <v>Food Junction</v>
      </c>
      <c r="E112" s="1" t="s">
        <v>26</v>
      </c>
      <c r="F112" s="12">
        <v>46345</v>
      </c>
      <c r="G112" s="12">
        <v>46345</v>
      </c>
      <c r="H112" s="12" t="str">
        <f>TEXT(Table14[[#This Row],[Delivery Date]],"dddd")</f>
        <v>Thursday</v>
      </c>
      <c r="I112" s="1" t="s">
        <v>16</v>
      </c>
      <c r="J112" s="1">
        <v>34</v>
      </c>
      <c r="K112" s="1">
        <v>40</v>
      </c>
      <c r="L112" s="1">
        <v>1000</v>
      </c>
      <c r="M112" s="1" t="s">
        <v>17</v>
      </c>
      <c r="N112" s="4">
        <v>4.5</v>
      </c>
    </row>
    <row r="113" spans="1:14" x14ac:dyDescent="0.3">
      <c r="A113" s="3" t="s">
        <v>333</v>
      </c>
      <c r="B113" s="1" t="s">
        <v>334</v>
      </c>
      <c r="C113" s="1" t="s">
        <v>62</v>
      </c>
      <c r="D113" s="1" t="str">
        <f>_xlfn.XLOOKUP(Table14[[#This Row],[Restaurant ID]],Table2[Restaurant ID],Table2[Restaurant Name2],"Not Found",0)</f>
        <v>Wrap House</v>
      </c>
      <c r="E113" s="1" t="s">
        <v>31</v>
      </c>
      <c r="F113" s="12">
        <v>46346</v>
      </c>
      <c r="G113" s="12">
        <v>46346</v>
      </c>
      <c r="H113" s="12" t="str">
        <f>TEXT(Table14[[#This Row],[Delivery Date]],"dddd")</f>
        <v>Friday</v>
      </c>
      <c r="I113" s="1" t="s">
        <v>22</v>
      </c>
      <c r="J113" s="1">
        <v>29</v>
      </c>
      <c r="K113" s="1">
        <v>35</v>
      </c>
      <c r="L113" s="1">
        <v>440</v>
      </c>
      <c r="M113" s="1" t="s">
        <v>17</v>
      </c>
      <c r="N113" s="4">
        <v>4</v>
      </c>
    </row>
    <row r="114" spans="1:14" x14ac:dyDescent="0.3">
      <c r="A114" s="3" t="s">
        <v>336</v>
      </c>
      <c r="B114" s="1" t="s">
        <v>337</v>
      </c>
      <c r="C114" s="1" t="s">
        <v>65</v>
      </c>
      <c r="D114" s="1" t="str">
        <f>_xlfn.XLOOKUP(Table14[[#This Row],[Restaurant ID]],Table2[Restaurant ID],Table2[Restaurant Name2],"Not Found",0)</f>
        <v>Curry Palace</v>
      </c>
      <c r="E114" s="1" t="s">
        <v>36</v>
      </c>
      <c r="F114" s="12">
        <v>46347</v>
      </c>
      <c r="G114" s="12">
        <v>46347</v>
      </c>
      <c r="H114" s="12" t="str">
        <f>TEXT(Table14[[#This Row],[Delivery Date]],"dddd")</f>
        <v>Saturday</v>
      </c>
      <c r="I114" s="1" t="s">
        <v>27</v>
      </c>
      <c r="J114" s="1">
        <v>36</v>
      </c>
      <c r="K114" s="1">
        <v>45</v>
      </c>
      <c r="L114" s="1">
        <v>810</v>
      </c>
      <c r="M114" s="1" t="s">
        <v>17</v>
      </c>
      <c r="N114" s="4">
        <v>5</v>
      </c>
    </row>
    <row r="115" spans="1:14" x14ac:dyDescent="0.3">
      <c r="A115" s="3" t="s">
        <v>339</v>
      </c>
      <c r="B115" s="1" t="s">
        <v>340</v>
      </c>
      <c r="C115" s="1" t="s">
        <v>69</v>
      </c>
      <c r="D115" s="1" t="str">
        <f>_xlfn.XLOOKUP(Table14[[#This Row],[Restaurant ID]],Table2[Restaurant ID],Table2[Restaurant Name2],"Not Found",0)</f>
        <v>Momos Magic</v>
      </c>
      <c r="E115" s="1" t="s">
        <v>41</v>
      </c>
      <c r="F115" s="12">
        <v>46348</v>
      </c>
      <c r="G115" s="12">
        <v>46348</v>
      </c>
      <c r="H115" s="12" t="str">
        <f>TEXT(Table14[[#This Row],[Delivery Date]],"dddd")</f>
        <v>Sunday</v>
      </c>
      <c r="I115" s="1" t="s">
        <v>32</v>
      </c>
      <c r="J115" s="1">
        <v>43</v>
      </c>
      <c r="K115" s="1">
        <v>60</v>
      </c>
      <c r="L115" s="1">
        <v>530</v>
      </c>
      <c r="M115" s="1" t="s">
        <v>75</v>
      </c>
      <c r="N115" s="4">
        <v>3</v>
      </c>
    </row>
    <row r="116" spans="1:14" x14ac:dyDescent="0.3">
      <c r="A116" s="3" t="s">
        <v>342</v>
      </c>
      <c r="B116" s="1" t="s">
        <v>343</v>
      </c>
      <c r="C116" s="1" t="s">
        <v>73</v>
      </c>
      <c r="D116" s="1" t="str">
        <f>_xlfn.XLOOKUP(Table14[[#This Row],[Restaurant ID]],Table2[Restaurant ID],Table2[Restaurant Name2],"Not Found",0)</f>
        <v>South Spice</v>
      </c>
      <c r="E116" s="1" t="s">
        <v>15</v>
      </c>
      <c r="F116" s="12">
        <v>46349</v>
      </c>
      <c r="G116" s="12">
        <v>46349</v>
      </c>
      <c r="H116" s="12" t="str">
        <f>TEXT(Table14[[#This Row],[Delivery Date]],"dddd")</f>
        <v>Monday</v>
      </c>
      <c r="I116" s="1" t="s">
        <v>37</v>
      </c>
      <c r="J116" s="1">
        <v>31</v>
      </c>
      <c r="K116" s="1">
        <v>40</v>
      </c>
      <c r="L116" s="1">
        <v>900</v>
      </c>
      <c r="M116" s="1" t="s">
        <v>17</v>
      </c>
      <c r="N116" s="4">
        <v>4.5</v>
      </c>
    </row>
    <row r="117" spans="1:14" x14ac:dyDescent="0.3">
      <c r="A117" s="3" t="s">
        <v>345</v>
      </c>
      <c r="B117" s="1" t="s">
        <v>346</v>
      </c>
      <c r="C117" s="1" t="s">
        <v>78</v>
      </c>
      <c r="D117" s="1" t="str">
        <f>_xlfn.XLOOKUP(Table14[[#This Row],[Restaurant ID]],Table2[Restaurant ID],Table2[Restaurant Name2],"Not Found",0)</f>
        <v>Pasta Street</v>
      </c>
      <c r="E117" s="1" t="s">
        <v>21</v>
      </c>
      <c r="F117" s="12">
        <v>46350</v>
      </c>
      <c r="G117" s="12">
        <v>46350</v>
      </c>
      <c r="H117" s="12" t="str">
        <f>TEXT(Table14[[#This Row],[Delivery Date]],"dddd")</f>
        <v>Tuesday</v>
      </c>
      <c r="I117" s="1" t="s">
        <v>531</v>
      </c>
      <c r="J117" s="1">
        <v>25</v>
      </c>
      <c r="K117" s="1">
        <v>30</v>
      </c>
      <c r="L117" s="1">
        <v>640</v>
      </c>
      <c r="M117" s="1" t="s">
        <v>17</v>
      </c>
      <c r="N117" s="4">
        <v>4</v>
      </c>
    </row>
    <row r="118" spans="1:14" x14ac:dyDescent="0.3">
      <c r="A118" s="3" t="s">
        <v>348</v>
      </c>
      <c r="B118" s="1" t="s">
        <v>349</v>
      </c>
      <c r="C118" s="1" t="s">
        <v>82</v>
      </c>
      <c r="D118" s="1" t="str">
        <f>_xlfn.XLOOKUP(Table14[[#This Row],[Restaurant ID]],Table2[Restaurant ID],Table2[Restaurant Name2],"Not Found",0)</f>
        <v>Chaat Corner</v>
      </c>
      <c r="E118" s="1" t="s">
        <v>26</v>
      </c>
      <c r="F118" s="12">
        <v>46351</v>
      </c>
      <c r="G118" s="12">
        <v>46351</v>
      </c>
      <c r="H118" s="12" t="str">
        <f>TEXT(Table14[[#This Row],[Delivery Date]],"dddd")</f>
        <v>Wednesday</v>
      </c>
      <c r="I118" s="1" t="s">
        <v>42</v>
      </c>
      <c r="J118" s="1">
        <v>33</v>
      </c>
      <c r="K118" s="1">
        <v>40</v>
      </c>
      <c r="L118" s="1">
        <v>370</v>
      </c>
      <c r="M118" s="1" t="s">
        <v>17</v>
      </c>
      <c r="N118" s="4">
        <v>5</v>
      </c>
    </row>
    <row r="119" spans="1:14" x14ac:dyDescent="0.3">
      <c r="A119" s="3" t="s">
        <v>351</v>
      </c>
      <c r="B119" s="1" t="s">
        <v>352</v>
      </c>
      <c r="C119" s="1" t="s">
        <v>86</v>
      </c>
      <c r="D119" s="1" t="str">
        <f>_xlfn.XLOOKUP(Table14[[#This Row],[Restaurant ID]],Table2[Restaurant ID],Table2[Restaurant Name2],"Not Found",0)</f>
        <v>Grill Nation</v>
      </c>
      <c r="E119" s="1" t="s">
        <v>31</v>
      </c>
      <c r="F119" s="12">
        <v>46352</v>
      </c>
      <c r="G119" s="12">
        <v>46352</v>
      </c>
      <c r="H119" s="12" t="str">
        <f>TEXT(Table14[[#This Row],[Delivery Date]],"dddd")</f>
        <v>Thursday</v>
      </c>
      <c r="I119" s="1" t="s">
        <v>46</v>
      </c>
      <c r="J119" s="1">
        <v>38</v>
      </c>
      <c r="K119" s="1">
        <v>50</v>
      </c>
      <c r="L119" s="1">
        <v>980</v>
      </c>
      <c r="M119" s="1" t="s">
        <v>17</v>
      </c>
      <c r="N119" s="4">
        <v>4</v>
      </c>
    </row>
    <row r="120" spans="1:14" x14ac:dyDescent="0.3">
      <c r="A120" s="3" t="s">
        <v>354</v>
      </c>
      <c r="B120" s="1" t="s">
        <v>355</v>
      </c>
      <c r="C120" s="1" t="s">
        <v>90</v>
      </c>
      <c r="D120" s="1" t="str">
        <f>_xlfn.XLOOKUP(Table14[[#This Row],[Restaurant ID]],Table2[Restaurant ID],Table2[Restaurant Name2],"Not Found",0)</f>
        <v>Kebab Kitchen</v>
      </c>
      <c r="E120" s="1" t="s">
        <v>36</v>
      </c>
      <c r="F120" s="12">
        <v>46353</v>
      </c>
      <c r="G120" s="12">
        <v>46353</v>
      </c>
      <c r="H120" s="12" t="str">
        <f>TEXT(Table14[[#This Row],[Delivery Date]],"dddd")</f>
        <v>Friday</v>
      </c>
      <c r="I120" s="1" t="s">
        <v>16</v>
      </c>
      <c r="J120" s="1">
        <v>28</v>
      </c>
      <c r="K120" s="1">
        <v>35</v>
      </c>
      <c r="L120" s="1">
        <v>750</v>
      </c>
      <c r="M120" s="1" t="s">
        <v>17</v>
      </c>
      <c r="N120" s="4">
        <v>4.5</v>
      </c>
    </row>
    <row r="121" spans="1:14" x14ac:dyDescent="0.3">
      <c r="A121" s="3" t="s">
        <v>357</v>
      </c>
      <c r="B121" s="1" t="s">
        <v>358</v>
      </c>
      <c r="C121" s="1" t="s">
        <v>94</v>
      </c>
      <c r="D121" s="1" t="str">
        <f>_xlfn.XLOOKUP(Table14[[#This Row],[Restaurant ID]],Table2[Restaurant ID],Table2[Restaurant Name2],"Not Found",0)</f>
        <v>Urban Tiffin</v>
      </c>
      <c r="E121" s="1" t="s">
        <v>41</v>
      </c>
      <c r="F121" s="12">
        <v>46354</v>
      </c>
      <c r="G121" s="12">
        <v>46354</v>
      </c>
      <c r="H121" s="12" t="str">
        <f>TEXT(Table14[[#This Row],[Delivery Date]],"dddd")</f>
        <v>Saturday</v>
      </c>
      <c r="I121" s="1" t="s">
        <v>22</v>
      </c>
      <c r="J121" s="1">
        <v>46</v>
      </c>
      <c r="K121" s="1">
        <v>65</v>
      </c>
      <c r="L121" s="1">
        <v>590</v>
      </c>
      <c r="M121" s="1" t="s">
        <v>75</v>
      </c>
      <c r="N121" s="4">
        <v>3.5</v>
      </c>
    </row>
    <row r="122" spans="1:14" x14ac:dyDescent="0.3">
      <c r="A122" s="3" t="s">
        <v>360</v>
      </c>
      <c r="B122" s="1" t="s">
        <v>13</v>
      </c>
      <c r="C122" s="1" t="s">
        <v>14</v>
      </c>
      <c r="D122" s="1" t="str">
        <f>_xlfn.XLOOKUP(Table14[[#This Row],[Restaurant ID]],Table2[Restaurant ID],Table2[Restaurant Name2],"Not Found",0)</f>
        <v>Spice Villa</v>
      </c>
      <c r="E122" s="1" t="s">
        <v>15</v>
      </c>
      <c r="F122" s="12">
        <v>46355</v>
      </c>
      <c r="G122" s="12">
        <v>46355</v>
      </c>
      <c r="H122" s="12" t="str">
        <f>TEXT(Table14[[#This Row],[Delivery Date]],"dddd")</f>
        <v>Sunday</v>
      </c>
      <c r="I122" s="1" t="s">
        <v>27</v>
      </c>
      <c r="J122" s="1">
        <v>30</v>
      </c>
      <c r="K122" s="1">
        <v>35</v>
      </c>
      <c r="L122" s="1">
        <v>520</v>
      </c>
      <c r="M122" s="1" t="s">
        <v>17</v>
      </c>
      <c r="N122" s="4">
        <v>4.5</v>
      </c>
    </row>
    <row r="123" spans="1:14" x14ac:dyDescent="0.3">
      <c r="A123" s="3" t="s">
        <v>362</v>
      </c>
      <c r="B123" s="1" t="s">
        <v>19</v>
      </c>
      <c r="C123" s="1" t="s">
        <v>20</v>
      </c>
      <c r="D123" s="1" t="str">
        <f>_xlfn.XLOOKUP(Table14[[#This Row],[Restaurant ID]],Table2[Restaurant ID],Table2[Restaurant Name2],"Not Found",0)</f>
        <v>Pizza Hub</v>
      </c>
      <c r="E123" s="1" t="s">
        <v>21</v>
      </c>
      <c r="F123" s="12">
        <v>46356</v>
      </c>
      <c r="G123" s="12">
        <v>46356</v>
      </c>
      <c r="H123" s="12" t="str">
        <f>TEXT(Table14[[#This Row],[Delivery Date]],"dddd")</f>
        <v>Monday</v>
      </c>
      <c r="I123" s="1" t="s">
        <v>32</v>
      </c>
      <c r="J123" s="1">
        <v>37</v>
      </c>
      <c r="K123" s="1">
        <v>45</v>
      </c>
      <c r="L123" s="1">
        <v>680</v>
      </c>
      <c r="M123" s="1" t="s">
        <v>17</v>
      </c>
      <c r="N123" s="4">
        <v>4</v>
      </c>
    </row>
    <row r="124" spans="1:14" x14ac:dyDescent="0.3">
      <c r="A124" s="3" t="s">
        <v>364</v>
      </c>
      <c r="B124" s="1" t="s">
        <v>24</v>
      </c>
      <c r="C124" s="1" t="s">
        <v>25</v>
      </c>
      <c r="D124" s="1" t="str">
        <f>_xlfn.XLOOKUP(Table14[[#This Row],[Restaurant ID]],Table2[Restaurant ID],Table2[Restaurant Name2],"Not Found",0)</f>
        <v>Tandoori House</v>
      </c>
      <c r="E124" s="1" t="s">
        <v>26</v>
      </c>
      <c r="F124" s="12">
        <v>46357</v>
      </c>
      <c r="G124" s="12">
        <v>46357</v>
      </c>
      <c r="H124" s="12" t="str">
        <f>TEXT(Table14[[#This Row],[Delivery Date]],"dddd")</f>
        <v>Tuesday</v>
      </c>
      <c r="I124" s="1" t="s">
        <v>37</v>
      </c>
      <c r="J124" s="1">
        <v>42</v>
      </c>
      <c r="K124" s="1">
        <v>55</v>
      </c>
      <c r="L124" s="1">
        <v>860</v>
      </c>
      <c r="M124" s="1" t="s">
        <v>17</v>
      </c>
      <c r="N124" s="4">
        <v>4.5</v>
      </c>
    </row>
    <row r="125" spans="1:14" x14ac:dyDescent="0.3">
      <c r="A125" s="3" t="s">
        <v>365</v>
      </c>
      <c r="B125" s="1" t="s">
        <v>29</v>
      </c>
      <c r="C125" s="1" t="s">
        <v>30</v>
      </c>
      <c r="D125" s="1" t="str">
        <f>_xlfn.XLOOKUP(Table14[[#This Row],[Restaurant ID]],Table2[Restaurant ID],Table2[Restaurant Name2],"Not Found",0)</f>
        <v>Burger Point</v>
      </c>
      <c r="E125" s="1" t="s">
        <v>31</v>
      </c>
      <c r="F125" s="12">
        <v>46358</v>
      </c>
      <c r="G125" s="12">
        <v>46358</v>
      </c>
      <c r="H125" s="12" t="str">
        <f>TEXT(Table14[[#This Row],[Delivery Date]],"dddd")</f>
        <v>Wednesday</v>
      </c>
      <c r="I125" s="1" t="s">
        <v>42</v>
      </c>
      <c r="J125" s="1">
        <v>27</v>
      </c>
      <c r="K125" s="1">
        <v>30</v>
      </c>
      <c r="L125" s="1">
        <v>400</v>
      </c>
      <c r="M125" s="1" t="s">
        <v>17</v>
      </c>
      <c r="N125" s="4">
        <v>5</v>
      </c>
    </row>
    <row r="126" spans="1:14" x14ac:dyDescent="0.3">
      <c r="A126" s="3" t="s">
        <v>366</v>
      </c>
      <c r="B126" s="1" t="s">
        <v>34</v>
      </c>
      <c r="C126" s="1" t="s">
        <v>35</v>
      </c>
      <c r="D126" s="1" t="str">
        <f>_xlfn.XLOOKUP(Table14[[#This Row],[Restaurant ID]],Table2[Restaurant ID],Table2[Restaurant Name2],"Not Found",0)</f>
        <v>Dosa Corner</v>
      </c>
      <c r="E126" s="1" t="s">
        <v>36</v>
      </c>
      <c r="F126" s="12">
        <v>46359</v>
      </c>
      <c r="G126" s="12">
        <v>46359</v>
      </c>
      <c r="H126" s="12" t="str">
        <f>TEXT(Table14[[#This Row],[Delivery Date]],"dddd")</f>
        <v>Thursday</v>
      </c>
      <c r="I126" s="1" t="s">
        <v>46</v>
      </c>
      <c r="J126" s="1">
        <v>35</v>
      </c>
      <c r="K126" s="1">
        <v>45</v>
      </c>
      <c r="L126" s="1">
        <v>950</v>
      </c>
      <c r="M126" s="1" t="s">
        <v>17</v>
      </c>
      <c r="N126" s="4">
        <v>4</v>
      </c>
    </row>
    <row r="127" spans="1:14" x14ac:dyDescent="0.3">
      <c r="A127" s="3" t="s">
        <v>367</v>
      </c>
      <c r="B127" s="1" t="s">
        <v>39</v>
      </c>
      <c r="C127" s="1" t="s">
        <v>40</v>
      </c>
      <c r="D127" s="1" t="str">
        <f>_xlfn.XLOOKUP(Table14[[#This Row],[Restaurant ID]],Table2[Restaurant ID],Table2[Restaurant Name2],"Not Found",0)</f>
        <v>Biryani Express</v>
      </c>
      <c r="E127" s="1" t="s">
        <v>41</v>
      </c>
      <c r="F127" s="12">
        <v>46360</v>
      </c>
      <c r="G127" s="12">
        <v>46360</v>
      </c>
      <c r="H127" s="12" t="str">
        <f>TEXT(Table14[[#This Row],[Delivery Date]],"dddd")</f>
        <v>Friday</v>
      </c>
      <c r="I127" s="1" t="s">
        <v>16</v>
      </c>
      <c r="J127" s="1">
        <v>40</v>
      </c>
      <c r="K127" s="1">
        <v>50</v>
      </c>
      <c r="L127" s="1">
        <v>690</v>
      </c>
      <c r="M127" s="1" t="s">
        <v>17</v>
      </c>
      <c r="N127" s="4">
        <v>4.5</v>
      </c>
    </row>
    <row r="128" spans="1:14" x14ac:dyDescent="0.3">
      <c r="A128" s="3" t="s">
        <v>368</v>
      </c>
      <c r="B128" s="1" t="s">
        <v>44</v>
      </c>
      <c r="C128" s="1" t="s">
        <v>45</v>
      </c>
      <c r="D128" s="1" t="str">
        <f>_xlfn.XLOOKUP(Table14[[#This Row],[Restaurant ID]],Table2[Restaurant ID],Table2[Restaurant Name2],"Not Found",0)</f>
        <v>Green Leaf</v>
      </c>
      <c r="E128" s="1" t="s">
        <v>15</v>
      </c>
      <c r="F128" s="12">
        <v>46361</v>
      </c>
      <c r="G128" s="12">
        <v>46361</v>
      </c>
      <c r="H128" s="12" t="str">
        <f>TEXT(Table14[[#This Row],[Delivery Date]],"dddd")</f>
        <v>Saturday</v>
      </c>
      <c r="I128" s="1" t="s">
        <v>531</v>
      </c>
      <c r="J128" s="1">
        <v>26</v>
      </c>
      <c r="K128" s="1">
        <v>30</v>
      </c>
      <c r="L128" s="1">
        <v>560</v>
      </c>
      <c r="M128" s="1" t="s">
        <v>17</v>
      </c>
      <c r="N128" s="4">
        <v>4</v>
      </c>
    </row>
    <row r="129" spans="1:14" x14ac:dyDescent="0.3">
      <c r="A129" s="3" t="s">
        <v>369</v>
      </c>
      <c r="B129" s="1" t="s">
        <v>48</v>
      </c>
      <c r="C129" s="1" t="s">
        <v>49</v>
      </c>
      <c r="D129" s="1" t="str">
        <f>_xlfn.XLOOKUP(Table14[[#This Row],[Restaurant ID]],Table2[Restaurant ID],Table2[Restaurant Name2],"Not Found",0)</f>
        <v>Cafe Aroma</v>
      </c>
      <c r="E129" s="1" t="s">
        <v>21</v>
      </c>
      <c r="F129" s="12">
        <v>46362</v>
      </c>
      <c r="G129" s="12">
        <v>46362</v>
      </c>
      <c r="H129" s="12" t="str">
        <f>TEXT(Table14[[#This Row],[Delivery Date]],"dddd")</f>
        <v>Sunday</v>
      </c>
      <c r="I129" s="1" t="s">
        <v>22</v>
      </c>
      <c r="J129" s="1">
        <v>34</v>
      </c>
      <c r="K129" s="1">
        <v>40</v>
      </c>
      <c r="L129" s="1">
        <v>480</v>
      </c>
      <c r="M129" s="1" t="s">
        <v>17</v>
      </c>
      <c r="N129" s="4">
        <v>4.5</v>
      </c>
    </row>
    <row r="130" spans="1:14" x14ac:dyDescent="0.3">
      <c r="A130" s="3" t="s">
        <v>370</v>
      </c>
      <c r="B130" s="1" t="s">
        <v>51</v>
      </c>
      <c r="C130" s="1" t="s">
        <v>52</v>
      </c>
      <c r="D130" s="1" t="str">
        <f>_xlfn.XLOOKUP(Table14[[#This Row],[Restaurant ID]],Table2[Restaurant ID],Table2[Restaurant Name2],"Not Found",0)</f>
        <v>Royal Thali</v>
      </c>
      <c r="E130" s="1" t="s">
        <v>26</v>
      </c>
      <c r="F130" s="12">
        <v>46363</v>
      </c>
      <c r="G130" s="12">
        <v>46363</v>
      </c>
      <c r="H130" s="12" t="str">
        <f>TEXT(Table14[[#This Row],[Delivery Date]],"dddd")</f>
        <v>Monday</v>
      </c>
      <c r="I130" s="1" t="s">
        <v>27</v>
      </c>
      <c r="J130" s="1">
        <v>29</v>
      </c>
      <c r="K130" s="1">
        <v>35</v>
      </c>
      <c r="L130" s="1">
        <v>720</v>
      </c>
      <c r="M130" s="1" t="s">
        <v>17</v>
      </c>
      <c r="N130" s="4">
        <v>5</v>
      </c>
    </row>
    <row r="131" spans="1:14" x14ac:dyDescent="0.3">
      <c r="A131" s="3" t="s">
        <v>371</v>
      </c>
      <c r="B131" s="1" t="s">
        <v>54</v>
      </c>
      <c r="C131" s="1" t="s">
        <v>55</v>
      </c>
      <c r="D131" s="1" t="str">
        <f>_xlfn.XLOOKUP(Table14[[#This Row],[Restaurant ID]],Table2[Restaurant ID],Table2[Restaurant Name2],"Not Found",0)</f>
        <v>Chinese Wok</v>
      </c>
      <c r="E131" s="1" t="s">
        <v>31</v>
      </c>
      <c r="F131" s="12">
        <v>46364</v>
      </c>
      <c r="G131" s="12">
        <v>46364</v>
      </c>
      <c r="H131" s="12" t="str">
        <f>TEXT(Table14[[#This Row],[Delivery Date]],"dddd")</f>
        <v>Tuesday</v>
      </c>
      <c r="I131" s="1" t="s">
        <v>32</v>
      </c>
      <c r="J131" s="1">
        <v>45</v>
      </c>
      <c r="K131" s="1">
        <v>60</v>
      </c>
      <c r="L131" s="1">
        <v>620</v>
      </c>
      <c r="M131" s="1" t="s">
        <v>75</v>
      </c>
      <c r="N131" s="4">
        <v>3</v>
      </c>
    </row>
    <row r="132" spans="1:14" x14ac:dyDescent="0.3">
      <c r="A132" s="3" t="s">
        <v>372</v>
      </c>
      <c r="B132" s="1" t="s">
        <v>58</v>
      </c>
      <c r="C132" s="1" t="s">
        <v>59</v>
      </c>
      <c r="D132" s="1" t="str">
        <f>_xlfn.XLOOKUP(Table14[[#This Row],[Restaurant ID]],Table2[Restaurant ID],Table2[Restaurant Name2],"Not Found",0)</f>
        <v>Food Junction</v>
      </c>
      <c r="E132" s="1" t="s">
        <v>36</v>
      </c>
      <c r="F132" s="12">
        <v>46365</v>
      </c>
      <c r="G132" s="12">
        <v>46365</v>
      </c>
      <c r="H132" s="12" t="str">
        <f>TEXT(Table14[[#This Row],[Delivery Date]],"dddd")</f>
        <v>Wednesday</v>
      </c>
      <c r="I132" s="1" t="s">
        <v>37</v>
      </c>
      <c r="J132" s="1">
        <v>31</v>
      </c>
      <c r="K132" s="1">
        <v>40</v>
      </c>
      <c r="L132" s="1">
        <v>1010</v>
      </c>
      <c r="M132" s="1" t="s">
        <v>17</v>
      </c>
      <c r="N132" s="4">
        <v>4.5</v>
      </c>
    </row>
    <row r="133" spans="1:14" x14ac:dyDescent="0.3">
      <c r="A133" s="3" t="s">
        <v>373</v>
      </c>
      <c r="B133" s="1" t="s">
        <v>61</v>
      </c>
      <c r="C133" s="1" t="s">
        <v>62</v>
      </c>
      <c r="D133" s="1" t="str">
        <f>_xlfn.XLOOKUP(Table14[[#This Row],[Restaurant ID]],Table2[Restaurant ID],Table2[Restaurant Name2],"Not Found",0)</f>
        <v>Wrap House</v>
      </c>
      <c r="E133" s="1" t="s">
        <v>41</v>
      </c>
      <c r="F133" s="12">
        <v>46366</v>
      </c>
      <c r="G133" s="12">
        <v>46366</v>
      </c>
      <c r="H133" s="12" t="str">
        <f>TEXT(Table14[[#This Row],[Delivery Date]],"dddd")</f>
        <v>Thursday</v>
      </c>
      <c r="I133" s="1" t="s">
        <v>42</v>
      </c>
      <c r="J133" s="1">
        <v>28</v>
      </c>
      <c r="K133" s="1">
        <v>35</v>
      </c>
      <c r="L133" s="1">
        <v>450</v>
      </c>
      <c r="M133" s="1" t="s">
        <v>17</v>
      </c>
      <c r="N133" s="4">
        <v>4</v>
      </c>
    </row>
    <row r="134" spans="1:14" x14ac:dyDescent="0.3">
      <c r="A134" s="3" t="s">
        <v>374</v>
      </c>
      <c r="B134" s="1" t="s">
        <v>64</v>
      </c>
      <c r="C134" s="1" t="s">
        <v>65</v>
      </c>
      <c r="D134" s="1" t="str">
        <f>_xlfn.XLOOKUP(Table14[[#This Row],[Restaurant ID]],Table2[Restaurant ID],Table2[Restaurant Name2],"Not Found",0)</f>
        <v>Curry Palace</v>
      </c>
      <c r="E134" s="1" t="s">
        <v>15</v>
      </c>
      <c r="F134" s="12">
        <v>46367</v>
      </c>
      <c r="G134" s="12">
        <v>46367</v>
      </c>
      <c r="H134" s="12" t="str">
        <f>TEXT(Table14[[#This Row],[Delivery Date]],"dddd")</f>
        <v>Friday</v>
      </c>
      <c r="I134" s="1" t="s">
        <v>46</v>
      </c>
      <c r="J134" s="1">
        <v>36</v>
      </c>
      <c r="K134" s="1">
        <v>45</v>
      </c>
      <c r="L134" s="1">
        <v>800</v>
      </c>
      <c r="M134" s="1" t="s">
        <v>17</v>
      </c>
      <c r="N134" s="4">
        <v>5</v>
      </c>
    </row>
    <row r="135" spans="1:14" x14ac:dyDescent="0.3">
      <c r="A135" s="3" t="s">
        <v>375</v>
      </c>
      <c r="B135" s="1" t="s">
        <v>68</v>
      </c>
      <c r="C135" s="1" t="s">
        <v>69</v>
      </c>
      <c r="D135" s="1" t="str">
        <f>_xlfn.XLOOKUP(Table14[[#This Row],[Restaurant ID]],Table2[Restaurant ID],Table2[Restaurant Name2],"Not Found",0)</f>
        <v>Momos Magic</v>
      </c>
      <c r="E135" s="1" t="s">
        <v>21</v>
      </c>
      <c r="F135" s="12">
        <v>46368</v>
      </c>
      <c r="G135" s="12">
        <v>46368</v>
      </c>
      <c r="H135" s="12" t="str">
        <f>TEXT(Table14[[#This Row],[Delivery Date]],"dddd")</f>
        <v>Saturday</v>
      </c>
      <c r="I135" s="1" t="s">
        <v>16</v>
      </c>
      <c r="J135" s="1">
        <v>39</v>
      </c>
      <c r="K135" s="1">
        <v>50</v>
      </c>
      <c r="L135" s="1">
        <v>540</v>
      </c>
      <c r="M135" s="1" t="s">
        <v>17</v>
      </c>
      <c r="N135" s="4">
        <v>4</v>
      </c>
    </row>
    <row r="136" spans="1:14" x14ac:dyDescent="0.3">
      <c r="A136" s="3" t="s">
        <v>376</v>
      </c>
      <c r="B136" s="1" t="s">
        <v>72</v>
      </c>
      <c r="C136" s="1" t="s">
        <v>73</v>
      </c>
      <c r="D136" s="1" t="str">
        <f>_xlfn.XLOOKUP(Table14[[#This Row],[Restaurant ID]],Table2[Restaurant ID],Table2[Restaurant Name2],"Not Found",0)</f>
        <v>South Spice</v>
      </c>
      <c r="E136" s="1" t="s">
        <v>26</v>
      </c>
      <c r="F136" s="12">
        <v>46369</v>
      </c>
      <c r="G136" s="12">
        <v>46369</v>
      </c>
      <c r="H136" s="12" t="str">
        <f>TEXT(Table14[[#This Row],[Delivery Date]],"dddd")</f>
        <v>Sunday</v>
      </c>
      <c r="I136" s="1" t="s">
        <v>22</v>
      </c>
      <c r="J136" s="1">
        <v>30</v>
      </c>
      <c r="K136" s="1">
        <v>35</v>
      </c>
      <c r="L136" s="1">
        <v>910</v>
      </c>
      <c r="M136" s="1" t="s">
        <v>17</v>
      </c>
      <c r="N136" s="4">
        <v>4.5</v>
      </c>
    </row>
    <row r="137" spans="1:14" x14ac:dyDescent="0.3">
      <c r="A137" s="3" t="s">
        <v>378</v>
      </c>
      <c r="B137" s="1" t="s">
        <v>77</v>
      </c>
      <c r="C137" s="1" t="s">
        <v>78</v>
      </c>
      <c r="D137" s="1" t="str">
        <f>_xlfn.XLOOKUP(Table14[[#This Row],[Restaurant ID]],Table2[Restaurant ID],Table2[Restaurant Name2],"Not Found",0)</f>
        <v>Pasta Street</v>
      </c>
      <c r="E137" s="1" t="s">
        <v>31</v>
      </c>
      <c r="F137" s="12">
        <v>46370</v>
      </c>
      <c r="G137" s="12">
        <v>46370</v>
      </c>
      <c r="H137" s="12" t="str">
        <f>TEXT(Table14[[#This Row],[Delivery Date]],"dddd")</f>
        <v>Monday</v>
      </c>
      <c r="I137" s="1" t="s">
        <v>27</v>
      </c>
      <c r="J137" s="1">
        <v>32</v>
      </c>
      <c r="K137" s="1">
        <v>40</v>
      </c>
      <c r="L137" s="1">
        <v>670</v>
      </c>
      <c r="M137" s="1" t="s">
        <v>17</v>
      </c>
      <c r="N137" s="4">
        <v>4</v>
      </c>
    </row>
    <row r="138" spans="1:14" x14ac:dyDescent="0.3">
      <c r="A138" s="3" t="s">
        <v>380</v>
      </c>
      <c r="B138" s="1" t="s">
        <v>81</v>
      </c>
      <c r="C138" s="1" t="s">
        <v>82</v>
      </c>
      <c r="D138" s="1" t="str">
        <f>_xlfn.XLOOKUP(Table14[[#This Row],[Restaurant ID]],Table2[Restaurant ID],Table2[Restaurant Name2],"Not Found",0)</f>
        <v>Chaat Corner</v>
      </c>
      <c r="E138" s="1" t="s">
        <v>36</v>
      </c>
      <c r="F138" s="12">
        <v>46371</v>
      </c>
      <c r="G138" s="12">
        <v>46371</v>
      </c>
      <c r="H138" s="12" t="str">
        <f>TEXT(Table14[[#This Row],[Delivery Date]],"dddd")</f>
        <v>Tuesday</v>
      </c>
      <c r="I138" s="1" t="s">
        <v>531</v>
      </c>
      <c r="J138" s="1">
        <v>25</v>
      </c>
      <c r="K138" s="1">
        <v>30</v>
      </c>
      <c r="L138" s="1">
        <v>380</v>
      </c>
      <c r="M138" s="1" t="s">
        <v>17</v>
      </c>
      <c r="N138" s="4">
        <v>5</v>
      </c>
    </row>
    <row r="139" spans="1:14" x14ac:dyDescent="0.3">
      <c r="A139" s="3" t="s">
        <v>382</v>
      </c>
      <c r="B139" s="1" t="s">
        <v>85</v>
      </c>
      <c r="C139" s="1" t="s">
        <v>86</v>
      </c>
      <c r="D139" s="1" t="str">
        <f>_xlfn.XLOOKUP(Table14[[#This Row],[Restaurant ID]],Table2[Restaurant ID],Table2[Restaurant Name2],"Not Found",0)</f>
        <v>Grill Nation</v>
      </c>
      <c r="E139" s="1" t="s">
        <v>41</v>
      </c>
      <c r="F139" s="12">
        <v>46372</v>
      </c>
      <c r="G139" s="12">
        <v>46372</v>
      </c>
      <c r="H139" s="12" t="str">
        <f>TEXT(Table14[[#This Row],[Delivery Date]],"dddd")</f>
        <v>Wednesday</v>
      </c>
      <c r="I139" s="1" t="s">
        <v>32</v>
      </c>
      <c r="J139" s="1">
        <v>41</v>
      </c>
      <c r="K139" s="1">
        <v>55</v>
      </c>
      <c r="L139" s="1">
        <v>990</v>
      </c>
      <c r="M139" s="1" t="s">
        <v>75</v>
      </c>
      <c r="N139" s="4">
        <v>3.5</v>
      </c>
    </row>
    <row r="140" spans="1:14" x14ac:dyDescent="0.3">
      <c r="A140" s="3" t="s">
        <v>384</v>
      </c>
      <c r="B140" s="1" t="s">
        <v>89</v>
      </c>
      <c r="C140" s="1" t="s">
        <v>90</v>
      </c>
      <c r="D140" s="1" t="str">
        <f>_xlfn.XLOOKUP(Table14[[#This Row],[Restaurant ID]],Table2[Restaurant ID],Table2[Restaurant Name2],"Not Found",0)</f>
        <v>Kebab Kitchen</v>
      </c>
      <c r="E140" s="1" t="s">
        <v>15</v>
      </c>
      <c r="F140" s="12">
        <v>46373</v>
      </c>
      <c r="G140" s="12">
        <v>46373</v>
      </c>
      <c r="H140" s="12" t="str">
        <f>TEXT(Table14[[#This Row],[Delivery Date]],"dddd")</f>
        <v>Thursday</v>
      </c>
      <c r="I140" s="1" t="s">
        <v>37</v>
      </c>
      <c r="J140" s="1">
        <v>28</v>
      </c>
      <c r="K140" s="1">
        <v>35</v>
      </c>
      <c r="L140" s="1">
        <v>770</v>
      </c>
      <c r="M140" s="1" t="s">
        <v>17</v>
      </c>
      <c r="N140" s="4">
        <v>4.5</v>
      </c>
    </row>
    <row r="141" spans="1:14" x14ac:dyDescent="0.3">
      <c r="A141" s="3" t="s">
        <v>386</v>
      </c>
      <c r="B141" s="1" t="s">
        <v>93</v>
      </c>
      <c r="C141" s="1" t="s">
        <v>94</v>
      </c>
      <c r="D141" s="1" t="str">
        <f>_xlfn.XLOOKUP(Table14[[#This Row],[Restaurant ID]],Table2[Restaurant ID],Table2[Restaurant Name2],"Not Found",0)</f>
        <v>Urban Tiffin</v>
      </c>
      <c r="E141" s="1" t="s">
        <v>21</v>
      </c>
      <c r="F141" s="12">
        <v>46374</v>
      </c>
      <c r="G141" s="12">
        <v>46374</v>
      </c>
      <c r="H141" s="12" t="str">
        <f>TEXT(Table14[[#This Row],[Delivery Date]],"dddd")</f>
        <v>Friday</v>
      </c>
      <c r="I141" s="1" t="s">
        <v>42</v>
      </c>
      <c r="J141" s="1">
        <v>37</v>
      </c>
      <c r="K141" s="1">
        <v>50</v>
      </c>
      <c r="L141" s="1">
        <v>600</v>
      </c>
      <c r="M141" s="1" t="s">
        <v>17</v>
      </c>
      <c r="N141" s="4">
        <v>4</v>
      </c>
    </row>
    <row r="142" spans="1:14" x14ac:dyDescent="0.3">
      <c r="A142" s="3" t="s">
        <v>388</v>
      </c>
      <c r="B142" s="1" t="s">
        <v>97</v>
      </c>
      <c r="C142" s="1" t="s">
        <v>14</v>
      </c>
      <c r="D142" s="1" t="str">
        <f>_xlfn.XLOOKUP(Table14[[#This Row],[Restaurant ID]],Table2[Restaurant ID],Table2[Restaurant Name2],"Not Found",0)</f>
        <v>Spice Villa</v>
      </c>
      <c r="E142" s="1" t="s">
        <v>26</v>
      </c>
      <c r="F142" s="12">
        <v>46375</v>
      </c>
      <c r="G142" s="12">
        <v>46375</v>
      </c>
      <c r="H142" s="12" t="str">
        <f>TEXT(Table14[[#This Row],[Delivery Date]],"dddd")</f>
        <v>Saturday</v>
      </c>
      <c r="I142" s="1" t="s">
        <v>46</v>
      </c>
      <c r="J142" s="1">
        <v>31</v>
      </c>
      <c r="K142" s="1">
        <v>40</v>
      </c>
      <c r="L142" s="1">
        <v>530</v>
      </c>
      <c r="M142" s="1" t="s">
        <v>17</v>
      </c>
      <c r="N142" s="4">
        <v>4.5</v>
      </c>
    </row>
    <row r="143" spans="1:14" x14ac:dyDescent="0.3">
      <c r="A143" s="3" t="s">
        <v>390</v>
      </c>
      <c r="B143" s="1" t="s">
        <v>100</v>
      </c>
      <c r="C143" s="1" t="s">
        <v>20</v>
      </c>
      <c r="D143" s="1" t="str">
        <f>_xlfn.XLOOKUP(Table14[[#This Row],[Restaurant ID]],Table2[Restaurant ID],Table2[Restaurant Name2],"Not Found",0)</f>
        <v>Pizza Hub</v>
      </c>
      <c r="E143" s="1" t="s">
        <v>31</v>
      </c>
      <c r="F143" s="12">
        <v>46376</v>
      </c>
      <c r="G143" s="12">
        <v>46376</v>
      </c>
      <c r="H143" s="12" t="str">
        <f>TEXT(Table14[[#This Row],[Delivery Date]],"dddd")</f>
        <v>Sunday</v>
      </c>
      <c r="I143" s="1" t="s">
        <v>16</v>
      </c>
      <c r="J143" s="1">
        <v>35</v>
      </c>
      <c r="K143" s="1">
        <v>45</v>
      </c>
      <c r="L143" s="1">
        <v>700</v>
      </c>
      <c r="M143" s="1" t="s">
        <v>17</v>
      </c>
      <c r="N143" s="4">
        <v>4</v>
      </c>
    </row>
    <row r="144" spans="1:14" x14ac:dyDescent="0.3">
      <c r="A144" s="3" t="s">
        <v>392</v>
      </c>
      <c r="B144" s="1" t="s">
        <v>103</v>
      </c>
      <c r="C144" s="1" t="s">
        <v>25</v>
      </c>
      <c r="D144" s="1" t="str">
        <f>_xlfn.XLOOKUP(Table14[[#This Row],[Restaurant ID]],Table2[Restaurant ID],Table2[Restaurant Name2],"Not Found",0)</f>
        <v>Tandoori House</v>
      </c>
      <c r="E144" s="1" t="s">
        <v>36</v>
      </c>
      <c r="F144" s="12">
        <v>46377</v>
      </c>
      <c r="G144" s="12">
        <v>46377</v>
      </c>
      <c r="H144" s="12" t="str">
        <f>TEXT(Table14[[#This Row],[Delivery Date]],"dddd")</f>
        <v>Monday</v>
      </c>
      <c r="I144" s="1" t="s">
        <v>22</v>
      </c>
      <c r="J144" s="1">
        <v>44</v>
      </c>
      <c r="K144" s="1">
        <v>60</v>
      </c>
      <c r="L144" s="1">
        <v>880</v>
      </c>
      <c r="M144" s="1" t="s">
        <v>75</v>
      </c>
      <c r="N144" s="4">
        <v>3</v>
      </c>
    </row>
    <row r="145" spans="1:14" x14ac:dyDescent="0.3">
      <c r="A145" s="3" t="s">
        <v>394</v>
      </c>
      <c r="B145" s="1" t="s">
        <v>106</v>
      </c>
      <c r="C145" s="1" t="s">
        <v>30</v>
      </c>
      <c r="D145" s="1" t="str">
        <f>_xlfn.XLOOKUP(Table14[[#This Row],[Restaurant ID]],Table2[Restaurant ID],Table2[Restaurant Name2],"Not Found",0)</f>
        <v>Burger Point</v>
      </c>
      <c r="E145" s="1" t="s">
        <v>41</v>
      </c>
      <c r="F145" s="12">
        <v>46378</v>
      </c>
      <c r="G145" s="12">
        <v>46378</v>
      </c>
      <c r="H145" s="12" t="str">
        <f>TEXT(Table14[[#This Row],[Delivery Date]],"dddd")</f>
        <v>Tuesday</v>
      </c>
      <c r="I145" s="1" t="s">
        <v>27</v>
      </c>
      <c r="J145" s="1">
        <v>26</v>
      </c>
      <c r="K145" s="1">
        <v>30</v>
      </c>
      <c r="L145" s="1">
        <v>420</v>
      </c>
      <c r="M145" s="1" t="s">
        <v>17</v>
      </c>
      <c r="N145" s="4">
        <v>5</v>
      </c>
    </row>
    <row r="146" spans="1:14" x14ac:dyDescent="0.3">
      <c r="A146" s="3" t="s">
        <v>396</v>
      </c>
      <c r="B146" s="1" t="s">
        <v>109</v>
      </c>
      <c r="C146" s="1" t="s">
        <v>35</v>
      </c>
      <c r="D146" s="1" t="str">
        <f>_xlfn.XLOOKUP(Table14[[#This Row],[Restaurant ID]],Table2[Restaurant ID],Table2[Restaurant Name2],"Not Found",0)</f>
        <v>Dosa Corner</v>
      </c>
      <c r="E146" s="1" t="s">
        <v>15</v>
      </c>
      <c r="F146" s="12">
        <v>46379</v>
      </c>
      <c r="G146" s="12">
        <v>46379</v>
      </c>
      <c r="H146" s="12" t="str">
        <f>TEXT(Table14[[#This Row],[Delivery Date]],"dddd")</f>
        <v>Wednesday</v>
      </c>
      <c r="I146" s="1" t="s">
        <v>32</v>
      </c>
      <c r="J146" s="1">
        <v>33</v>
      </c>
      <c r="K146" s="1">
        <v>40</v>
      </c>
      <c r="L146" s="1">
        <v>970</v>
      </c>
      <c r="M146" s="1" t="s">
        <v>17</v>
      </c>
      <c r="N146" s="4">
        <v>4.5</v>
      </c>
    </row>
    <row r="147" spans="1:14" x14ac:dyDescent="0.3">
      <c r="A147" s="3" t="s">
        <v>398</v>
      </c>
      <c r="B147" s="1" t="s">
        <v>112</v>
      </c>
      <c r="C147" s="1" t="s">
        <v>40</v>
      </c>
      <c r="D147" s="1" t="str">
        <f>_xlfn.XLOOKUP(Table14[[#This Row],[Restaurant ID]],Table2[Restaurant ID],Table2[Restaurant Name2],"Not Found",0)</f>
        <v>Biryani Express</v>
      </c>
      <c r="E147" s="1" t="s">
        <v>21</v>
      </c>
      <c r="F147" s="12">
        <v>46380</v>
      </c>
      <c r="G147" s="12">
        <v>46380</v>
      </c>
      <c r="H147" s="12" t="str">
        <f>TEXT(Table14[[#This Row],[Delivery Date]],"dddd")</f>
        <v>Thursday</v>
      </c>
      <c r="I147" s="1" t="s">
        <v>37</v>
      </c>
      <c r="J147" s="1">
        <v>39</v>
      </c>
      <c r="K147" s="1">
        <v>50</v>
      </c>
      <c r="L147" s="1">
        <v>710</v>
      </c>
      <c r="M147" s="1" t="s">
        <v>17</v>
      </c>
      <c r="N147" s="4">
        <v>4</v>
      </c>
    </row>
    <row r="148" spans="1:14" x14ac:dyDescent="0.3">
      <c r="A148" s="3" t="s">
        <v>400</v>
      </c>
      <c r="B148" s="1" t="s">
        <v>115</v>
      </c>
      <c r="C148" s="1" t="s">
        <v>45</v>
      </c>
      <c r="D148" s="1" t="str">
        <f>_xlfn.XLOOKUP(Table14[[#This Row],[Restaurant ID]],Table2[Restaurant ID],Table2[Restaurant Name2],"Not Found",0)</f>
        <v>Green Leaf</v>
      </c>
      <c r="E148" s="1" t="s">
        <v>26</v>
      </c>
      <c r="F148" s="12">
        <v>46381</v>
      </c>
      <c r="G148" s="12">
        <v>46381</v>
      </c>
      <c r="H148" s="12" t="str">
        <f>TEXT(Table14[[#This Row],[Delivery Date]],"dddd")</f>
        <v>Friday</v>
      </c>
      <c r="I148" s="1" t="s">
        <v>42</v>
      </c>
      <c r="J148" s="1">
        <v>27</v>
      </c>
      <c r="K148" s="1">
        <v>30</v>
      </c>
      <c r="L148" s="1">
        <v>570</v>
      </c>
      <c r="M148" s="1" t="s">
        <v>17</v>
      </c>
      <c r="N148" s="4">
        <v>4.5</v>
      </c>
    </row>
    <row r="149" spans="1:14" x14ac:dyDescent="0.3">
      <c r="A149" s="3" t="s">
        <v>402</v>
      </c>
      <c r="B149" s="1" t="s">
        <v>118</v>
      </c>
      <c r="C149" s="1" t="s">
        <v>49</v>
      </c>
      <c r="D149" s="1" t="str">
        <f>_xlfn.XLOOKUP(Table14[[#This Row],[Restaurant ID]],Table2[Restaurant ID],Table2[Restaurant Name2],"Not Found",0)</f>
        <v>Cafe Aroma</v>
      </c>
      <c r="E149" s="1" t="s">
        <v>31</v>
      </c>
      <c r="F149" s="12">
        <v>46382</v>
      </c>
      <c r="G149" s="12">
        <v>46382</v>
      </c>
      <c r="H149" s="12" t="str">
        <f>TEXT(Table14[[#This Row],[Delivery Date]],"dddd")</f>
        <v>Saturday</v>
      </c>
      <c r="I149" s="1" t="s">
        <v>46</v>
      </c>
      <c r="J149" s="1">
        <v>36</v>
      </c>
      <c r="K149" s="1">
        <v>45</v>
      </c>
      <c r="L149" s="1">
        <v>490</v>
      </c>
      <c r="M149" s="1" t="s">
        <v>17</v>
      </c>
      <c r="N149" s="4">
        <v>4</v>
      </c>
    </row>
    <row r="150" spans="1:14" x14ac:dyDescent="0.3">
      <c r="A150" s="3" t="s">
        <v>404</v>
      </c>
      <c r="B150" s="1" t="s">
        <v>121</v>
      </c>
      <c r="C150" s="1" t="s">
        <v>52</v>
      </c>
      <c r="D150" s="1" t="str">
        <f>_xlfn.XLOOKUP(Table14[[#This Row],[Restaurant ID]],Table2[Restaurant ID],Table2[Restaurant Name2],"Not Found",0)</f>
        <v>Royal Thali</v>
      </c>
      <c r="E150" s="1" t="s">
        <v>36</v>
      </c>
      <c r="F150" s="12">
        <v>46383</v>
      </c>
      <c r="G150" s="12">
        <v>46383</v>
      </c>
      <c r="H150" s="12" t="str">
        <f>TEXT(Table14[[#This Row],[Delivery Date]],"dddd")</f>
        <v>Sunday</v>
      </c>
      <c r="I150" s="1" t="s">
        <v>16</v>
      </c>
      <c r="J150" s="1">
        <v>30</v>
      </c>
      <c r="K150" s="1">
        <v>35</v>
      </c>
      <c r="L150" s="1">
        <v>740</v>
      </c>
      <c r="M150" s="1" t="s">
        <v>17</v>
      </c>
      <c r="N150" s="4">
        <v>5</v>
      </c>
    </row>
    <row r="151" spans="1:14" x14ac:dyDescent="0.3">
      <c r="A151" s="3" t="s">
        <v>406</v>
      </c>
      <c r="B151" s="1" t="s">
        <v>124</v>
      </c>
      <c r="C151" s="1" t="s">
        <v>55</v>
      </c>
      <c r="D151" s="1" t="str">
        <f>_xlfn.XLOOKUP(Table14[[#This Row],[Restaurant ID]],Table2[Restaurant ID],Table2[Restaurant Name2],"Not Found",0)</f>
        <v>Chinese Wok</v>
      </c>
      <c r="E151" s="1" t="s">
        <v>41</v>
      </c>
      <c r="F151" s="12">
        <v>46384</v>
      </c>
      <c r="G151" s="12">
        <v>46384</v>
      </c>
      <c r="H151" s="12" t="str">
        <f>TEXT(Table14[[#This Row],[Delivery Date]],"dddd")</f>
        <v>Monday</v>
      </c>
      <c r="I151" s="1" t="s">
        <v>531</v>
      </c>
      <c r="J151" s="1">
        <v>43</v>
      </c>
      <c r="K151" s="1">
        <v>60</v>
      </c>
      <c r="L151" s="1">
        <v>630</v>
      </c>
      <c r="M151" s="1" t="s">
        <v>75</v>
      </c>
      <c r="N151" s="4">
        <v>3</v>
      </c>
    </row>
    <row r="152" spans="1:14" x14ac:dyDescent="0.3">
      <c r="A152" s="3" t="s">
        <v>408</v>
      </c>
      <c r="B152" s="1" t="s">
        <v>127</v>
      </c>
      <c r="C152" s="1" t="s">
        <v>59</v>
      </c>
      <c r="D152" s="1" t="str">
        <f>_xlfn.XLOOKUP(Table14[[#This Row],[Restaurant ID]],Table2[Restaurant ID],Table2[Restaurant Name2],"Not Found",0)</f>
        <v>Food Junction</v>
      </c>
      <c r="E152" s="1" t="s">
        <v>15</v>
      </c>
      <c r="F152" s="12">
        <v>46385</v>
      </c>
      <c r="G152" s="12">
        <v>46385</v>
      </c>
      <c r="H152" s="12" t="str">
        <f>TEXT(Table14[[#This Row],[Delivery Date]],"dddd")</f>
        <v>Tuesday</v>
      </c>
      <c r="I152" s="1" t="s">
        <v>22</v>
      </c>
      <c r="J152" s="1">
        <v>29</v>
      </c>
      <c r="K152" s="1">
        <v>35</v>
      </c>
      <c r="L152" s="1">
        <v>1020</v>
      </c>
      <c r="M152" s="1" t="s">
        <v>17</v>
      </c>
      <c r="N152" s="4">
        <v>4.5</v>
      </c>
    </row>
    <row r="153" spans="1:14" x14ac:dyDescent="0.3">
      <c r="A153" s="3" t="s">
        <v>410</v>
      </c>
      <c r="B153" s="1" t="s">
        <v>130</v>
      </c>
      <c r="C153" s="1" t="s">
        <v>62</v>
      </c>
      <c r="D153" s="1" t="str">
        <f>_xlfn.XLOOKUP(Table14[[#This Row],[Restaurant ID]],Table2[Restaurant ID],Table2[Restaurant Name2],"Not Found",0)</f>
        <v>Wrap House</v>
      </c>
      <c r="E153" s="1" t="s">
        <v>21</v>
      </c>
      <c r="F153" s="12">
        <v>46386</v>
      </c>
      <c r="G153" s="12">
        <v>46386</v>
      </c>
      <c r="H153" s="12" t="str">
        <f>TEXT(Table14[[#This Row],[Delivery Date]],"dddd")</f>
        <v>Wednesday</v>
      </c>
      <c r="I153" s="1" t="s">
        <v>27</v>
      </c>
      <c r="J153" s="1">
        <v>34</v>
      </c>
      <c r="K153" s="1">
        <v>40</v>
      </c>
      <c r="L153" s="1">
        <v>460</v>
      </c>
      <c r="M153" s="1" t="s">
        <v>17</v>
      </c>
      <c r="N153" s="4">
        <v>4</v>
      </c>
    </row>
    <row r="154" spans="1:14" x14ac:dyDescent="0.3">
      <c r="A154" s="3" t="s">
        <v>412</v>
      </c>
      <c r="B154" s="1" t="s">
        <v>132</v>
      </c>
      <c r="C154" s="1" t="s">
        <v>65</v>
      </c>
      <c r="D154" s="1" t="str">
        <f>_xlfn.XLOOKUP(Table14[[#This Row],[Restaurant ID]],Table2[Restaurant ID],Table2[Restaurant Name2],"Not Found",0)</f>
        <v>Curry Palace</v>
      </c>
      <c r="E154" s="1" t="s">
        <v>26</v>
      </c>
      <c r="F154" s="12">
        <v>46387</v>
      </c>
      <c r="G154" s="12">
        <v>46387</v>
      </c>
      <c r="H154" s="12" t="str">
        <f>TEXT(Table14[[#This Row],[Delivery Date]],"dddd")</f>
        <v>Thursday</v>
      </c>
      <c r="I154" s="1" t="s">
        <v>32</v>
      </c>
      <c r="J154" s="1">
        <v>32</v>
      </c>
      <c r="K154" s="1">
        <v>45</v>
      </c>
      <c r="L154" s="1">
        <v>820</v>
      </c>
      <c r="M154" s="1" t="s">
        <v>17</v>
      </c>
      <c r="N154" s="4">
        <v>5</v>
      </c>
    </row>
    <row r="155" spans="1:14" x14ac:dyDescent="0.3">
      <c r="A155" s="3" t="s">
        <v>414</v>
      </c>
      <c r="B155" s="1" t="s">
        <v>134</v>
      </c>
      <c r="C155" s="1" t="s">
        <v>69</v>
      </c>
      <c r="D155" s="1" t="str">
        <f>_xlfn.XLOOKUP(Table14[[#This Row],[Restaurant ID]],Table2[Restaurant ID],Table2[Restaurant Name2],"Not Found",0)</f>
        <v>Momos Magic</v>
      </c>
      <c r="E155" s="1" t="s">
        <v>31</v>
      </c>
      <c r="F155" s="12">
        <v>46023</v>
      </c>
      <c r="G155" s="12">
        <v>46023</v>
      </c>
      <c r="H155" s="12" t="str">
        <f>TEXT(Table14[[#This Row],[Delivery Date]],"dddd")</f>
        <v>Thursday</v>
      </c>
      <c r="I155" s="1" t="s">
        <v>37</v>
      </c>
      <c r="J155" s="1">
        <v>40</v>
      </c>
      <c r="K155" s="1">
        <v>55</v>
      </c>
      <c r="L155" s="1">
        <v>550</v>
      </c>
      <c r="M155" s="1" t="s">
        <v>17</v>
      </c>
      <c r="N155" s="4">
        <v>4</v>
      </c>
    </row>
    <row r="156" spans="1:14" x14ac:dyDescent="0.3">
      <c r="A156" s="3" t="s">
        <v>415</v>
      </c>
      <c r="B156" s="1" t="s">
        <v>136</v>
      </c>
      <c r="C156" s="1" t="s">
        <v>73</v>
      </c>
      <c r="D156" s="1" t="str">
        <f>_xlfn.XLOOKUP(Table14[[#This Row],[Restaurant ID]],Table2[Restaurant ID],Table2[Restaurant Name2],"Not Found",0)</f>
        <v>South Spice</v>
      </c>
      <c r="E156" s="1" t="s">
        <v>36</v>
      </c>
      <c r="F156" s="12">
        <v>46024</v>
      </c>
      <c r="G156" s="12">
        <v>46024</v>
      </c>
      <c r="H156" s="12" t="str">
        <f>TEXT(Table14[[#This Row],[Delivery Date]],"dddd")</f>
        <v>Friday</v>
      </c>
      <c r="I156" s="1" t="s">
        <v>42</v>
      </c>
      <c r="J156" s="1">
        <v>28</v>
      </c>
      <c r="K156" s="1">
        <v>35</v>
      </c>
      <c r="L156" s="1">
        <v>920</v>
      </c>
      <c r="M156" s="1" t="s">
        <v>17</v>
      </c>
      <c r="N156" s="4">
        <v>4.5</v>
      </c>
    </row>
    <row r="157" spans="1:14" x14ac:dyDescent="0.3">
      <c r="A157" s="3" t="s">
        <v>416</v>
      </c>
      <c r="B157" s="1" t="s">
        <v>138</v>
      </c>
      <c r="C157" s="1" t="s">
        <v>78</v>
      </c>
      <c r="D157" s="1" t="str">
        <f>_xlfn.XLOOKUP(Table14[[#This Row],[Restaurant ID]],Table2[Restaurant ID],Table2[Restaurant Name2],"Not Found",0)</f>
        <v>Pasta Street</v>
      </c>
      <c r="E157" s="1" t="s">
        <v>41</v>
      </c>
      <c r="F157" s="12">
        <v>46025</v>
      </c>
      <c r="G157" s="12">
        <v>46025</v>
      </c>
      <c r="H157" s="12" t="str">
        <f>TEXT(Table14[[#This Row],[Delivery Date]],"dddd")</f>
        <v>Saturday</v>
      </c>
      <c r="I157" s="1" t="s">
        <v>46</v>
      </c>
      <c r="J157" s="1">
        <v>35</v>
      </c>
      <c r="K157" s="1">
        <v>45</v>
      </c>
      <c r="L157" s="1">
        <v>680</v>
      </c>
      <c r="M157" s="1" t="s">
        <v>17</v>
      </c>
      <c r="N157" s="4">
        <v>4</v>
      </c>
    </row>
    <row r="158" spans="1:14" x14ac:dyDescent="0.3">
      <c r="A158" s="3" t="s">
        <v>417</v>
      </c>
      <c r="B158" s="1" t="s">
        <v>140</v>
      </c>
      <c r="C158" s="1" t="s">
        <v>82</v>
      </c>
      <c r="D158" s="1" t="str">
        <f>_xlfn.XLOOKUP(Table14[[#This Row],[Restaurant ID]],Table2[Restaurant ID],Table2[Restaurant Name2],"Not Found",0)</f>
        <v>Chaat Corner</v>
      </c>
      <c r="E158" s="1" t="s">
        <v>15</v>
      </c>
      <c r="F158" s="12">
        <v>46026</v>
      </c>
      <c r="G158" s="12">
        <v>46026</v>
      </c>
      <c r="H158" s="12" t="str">
        <f>TEXT(Table14[[#This Row],[Delivery Date]],"dddd")</f>
        <v>Sunday</v>
      </c>
      <c r="I158" s="1" t="s">
        <v>16</v>
      </c>
      <c r="J158" s="1">
        <v>24</v>
      </c>
      <c r="K158" s="1">
        <v>30</v>
      </c>
      <c r="L158" s="1">
        <v>390</v>
      </c>
      <c r="M158" s="1" t="s">
        <v>17</v>
      </c>
      <c r="N158" s="4">
        <v>5</v>
      </c>
    </row>
    <row r="159" spans="1:14" x14ac:dyDescent="0.3">
      <c r="A159" s="3" t="s">
        <v>418</v>
      </c>
      <c r="B159" s="1" t="s">
        <v>142</v>
      </c>
      <c r="C159" s="1" t="s">
        <v>86</v>
      </c>
      <c r="D159" s="1" t="str">
        <f>_xlfn.XLOOKUP(Table14[[#This Row],[Restaurant ID]],Table2[Restaurant ID],Table2[Restaurant Name2],"Not Found",0)</f>
        <v>Grill Nation</v>
      </c>
      <c r="E159" s="1" t="s">
        <v>21</v>
      </c>
      <c r="F159" s="12">
        <v>46027</v>
      </c>
      <c r="G159" s="12">
        <v>46027</v>
      </c>
      <c r="H159" s="12" t="str">
        <f>TEXT(Table14[[#This Row],[Delivery Date]],"dddd")</f>
        <v>Monday</v>
      </c>
      <c r="I159" s="1" t="s">
        <v>22</v>
      </c>
      <c r="J159" s="1">
        <v>42</v>
      </c>
      <c r="K159" s="1">
        <v>55</v>
      </c>
      <c r="L159" s="1">
        <v>1000</v>
      </c>
      <c r="M159" s="1" t="s">
        <v>75</v>
      </c>
      <c r="N159" s="4">
        <v>3.5</v>
      </c>
    </row>
    <row r="160" spans="1:14" x14ac:dyDescent="0.3">
      <c r="A160" s="3" t="s">
        <v>419</v>
      </c>
      <c r="B160" s="1" t="s">
        <v>144</v>
      </c>
      <c r="C160" s="1" t="s">
        <v>90</v>
      </c>
      <c r="D160" s="1" t="str">
        <f>_xlfn.XLOOKUP(Table14[[#This Row],[Restaurant ID]],Table2[Restaurant ID],Table2[Restaurant Name2],"Not Found",0)</f>
        <v>Kebab Kitchen</v>
      </c>
      <c r="E160" s="1" t="s">
        <v>26</v>
      </c>
      <c r="F160" s="12">
        <v>46028</v>
      </c>
      <c r="G160" s="12">
        <v>46028</v>
      </c>
      <c r="H160" s="12" t="str">
        <f>TEXT(Table14[[#This Row],[Delivery Date]],"dddd")</f>
        <v>Tuesday</v>
      </c>
      <c r="I160" s="1" t="s">
        <v>27</v>
      </c>
      <c r="J160" s="1">
        <v>30</v>
      </c>
      <c r="K160" s="1">
        <v>35</v>
      </c>
      <c r="L160" s="1">
        <v>780</v>
      </c>
      <c r="M160" s="1" t="s">
        <v>17</v>
      </c>
      <c r="N160" s="4">
        <v>4.5</v>
      </c>
    </row>
    <row r="161" spans="1:14" x14ac:dyDescent="0.3">
      <c r="A161" s="3" t="s">
        <v>420</v>
      </c>
      <c r="B161" s="1" t="s">
        <v>146</v>
      </c>
      <c r="C161" s="1" t="s">
        <v>94</v>
      </c>
      <c r="D161" s="1" t="str">
        <f>_xlfn.XLOOKUP(Table14[[#This Row],[Restaurant ID]],Table2[Restaurant ID],Table2[Restaurant Name2],"Not Found",0)</f>
        <v>Urban Tiffin</v>
      </c>
      <c r="E161" s="1" t="s">
        <v>31</v>
      </c>
      <c r="F161" s="12">
        <v>46029</v>
      </c>
      <c r="G161" s="12">
        <v>46029</v>
      </c>
      <c r="H161" s="12" t="str">
        <f>TEXT(Table14[[#This Row],[Delivery Date]],"dddd")</f>
        <v>Wednesday</v>
      </c>
      <c r="I161" s="1" t="s">
        <v>32</v>
      </c>
      <c r="J161" s="1">
        <v>38</v>
      </c>
      <c r="K161" s="1">
        <v>50</v>
      </c>
      <c r="L161" s="1">
        <v>610</v>
      </c>
      <c r="M161" s="1" t="s">
        <v>17</v>
      </c>
      <c r="N161" s="4">
        <v>4</v>
      </c>
    </row>
    <row r="162" spans="1:14" x14ac:dyDescent="0.3">
      <c r="A162" s="3" t="s">
        <v>421</v>
      </c>
      <c r="B162" s="1" t="s">
        <v>148</v>
      </c>
      <c r="C162" s="1" t="s">
        <v>14</v>
      </c>
      <c r="D162" s="1" t="str">
        <f>_xlfn.XLOOKUP(Table14[[#This Row],[Restaurant ID]],Table2[Restaurant ID],Table2[Restaurant Name2],"Not Found",0)</f>
        <v>Spice Villa</v>
      </c>
      <c r="E162" s="1" t="s">
        <v>36</v>
      </c>
      <c r="F162" s="12">
        <v>46030</v>
      </c>
      <c r="G162" s="12">
        <v>46030</v>
      </c>
      <c r="H162" s="12" t="str">
        <f>TEXT(Table14[[#This Row],[Delivery Date]],"dddd")</f>
        <v>Thursday</v>
      </c>
      <c r="I162" s="1" t="s">
        <v>37</v>
      </c>
      <c r="J162" s="1">
        <v>33</v>
      </c>
      <c r="K162" s="1">
        <v>40</v>
      </c>
      <c r="L162" s="1">
        <v>540</v>
      </c>
      <c r="M162" s="1" t="s">
        <v>17</v>
      </c>
      <c r="N162" s="4">
        <v>4.5</v>
      </c>
    </row>
    <row r="163" spans="1:14" x14ac:dyDescent="0.3">
      <c r="A163" s="3" t="s">
        <v>422</v>
      </c>
      <c r="B163" s="1" t="s">
        <v>150</v>
      </c>
      <c r="C163" s="1" t="s">
        <v>20</v>
      </c>
      <c r="D163" s="1" t="str">
        <f>_xlfn.XLOOKUP(Table14[[#This Row],[Restaurant ID]],Table2[Restaurant ID],Table2[Restaurant Name2],"Not Found",0)</f>
        <v>Pizza Hub</v>
      </c>
      <c r="E163" s="1" t="s">
        <v>41</v>
      </c>
      <c r="F163" s="12">
        <v>46031</v>
      </c>
      <c r="G163" s="12">
        <v>46031</v>
      </c>
      <c r="H163" s="12" t="str">
        <f>TEXT(Table14[[#This Row],[Delivery Date]],"dddd")</f>
        <v>Friday</v>
      </c>
      <c r="I163" s="1" t="s">
        <v>42</v>
      </c>
      <c r="J163" s="1">
        <v>27</v>
      </c>
      <c r="K163" s="1">
        <v>35</v>
      </c>
      <c r="L163" s="1">
        <v>690</v>
      </c>
      <c r="M163" s="1" t="s">
        <v>17</v>
      </c>
      <c r="N163" s="4">
        <v>5</v>
      </c>
    </row>
    <row r="164" spans="1:14" x14ac:dyDescent="0.3">
      <c r="A164" s="3" t="s">
        <v>423</v>
      </c>
      <c r="B164" s="1" t="s">
        <v>152</v>
      </c>
      <c r="C164" s="1" t="s">
        <v>25</v>
      </c>
      <c r="D164" s="1" t="str">
        <f>_xlfn.XLOOKUP(Table14[[#This Row],[Restaurant ID]],Table2[Restaurant ID],Table2[Restaurant Name2],"Not Found",0)</f>
        <v>Tandoori House</v>
      </c>
      <c r="E164" s="1" t="s">
        <v>15</v>
      </c>
      <c r="F164" s="12">
        <v>46032</v>
      </c>
      <c r="G164" s="12">
        <v>46032</v>
      </c>
      <c r="H164" s="12" t="str">
        <f>TEXT(Table14[[#This Row],[Delivery Date]],"dddd")</f>
        <v>Saturday</v>
      </c>
      <c r="I164" s="1" t="s">
        <v>46</v>
      </c>
      <c r="J164" s="1">
        <v>40</v>
      </c>
      <c r="K164" s="1">
        <v>55</v>
      </c>
      <c r="L164" s="1">
        <v>870</v>
      </c>
      <c r="M164" s="1" t="s">
        <v>17</v>
      </c>
      <c r="N164" s="4">
        <v>4</v>
      </c>
    </row>
    <row r="165" spans="1:14" x14ac:dyDescent="0.3">
      <c r="A165" s="3" t="s">
        <v>424</v>
      </c>
      <c r="B165" s="1" t="s">
        <v>154</v>
      </c>
      <c r="C165" s="1" t="s">
        <v>30</v>
      </c>
      <c r="D165" s="1" t="str">
        <f>_xlfn.XLOOKUP(Table14[[#This Row],[Restaurant ID]],Table2[Restaurant ID],Table2[Restaurant Name2],"Not Found",0)</f>
        <v>Burger Point</v>
      </c>
      <c r="E165" s="1" t="s">
        <v>21</v>
      </c>
      <c r="F165" s="12">
        <v>46033</v>
      </c>
      <c r="G165" s="12">
        <v>46033</v>
      </c>
      <c r="H165" s="12" t="str">
        <f>TEXT(Table14[[#This Row],[Delivery Date]],"dddd")</f>
        <v>Sunday</v>
      </c>
      <c r="I165" s="1" t="s">
        <v>531</v>
      </c>
      <c r="J165" s="1">
        <v>29</v>
      </c>
      <c r="K165" s="1">
        <v>30</v>
      </c>
      <c r="L165" s="1">
        <v>430</v>
      </c>
      <c r="M165" s="1" t="s">
        <v>17</v>
      </c>
      <c r="N165" s="4">
        <v>4.5</v>
      </c>
    </row>
    <row r="166" spans="1:14" x14ac:dyDescent="0.3">
      <c r="A166" s="3" t="s">
        <v>425</v>
      </c>
      <c r="B166" s="1" t="s">
        <v>157</v>
      </c>
      <c r="C166" s="1" t="s">
        <v>35</v>
      </c>
      <c r="D166" s="1" t="str">
        <f>_xlfn.XLOOKUP(Table14[[#This Row],[Restaurant ID]],Table2[Restaurant ID],Table2[Restaurant Name2],"Not Found",0)</f>
        <v>Dosa Corner</v>
      </c>
      <c r="E166" s="1" t="s">
        <v>26</v>
      </c>
      <c r="F166" s="12">
        <v>46034</v>
      </c>
      <c r="G166" s="12">
        <v>46034</v>
      </c>
      <c r="H166" s="12" t="str">
        <f>TEXT(Table14[[#This Row],[Delivery Date]],"dddd")</f>
        <v>Monday</v>
      </c>
      <c r="I166" s="1" t="s">
        <v>16</v>
      </c>
      <c r="J166" s="1">
        <v>34</v>
      </c>
      <c r="K166" s="1">
        <v>45</v>
      </c>
      <c r="L166" s="1">
        <v>980</v>
      </c>
      <c r="M166" s="1" t="s">
        <v>17</v>
      </c>
      <c r="N166" s="4">
        <v>4</v>
      </c>
    </row>
    <row r="167" spans="1:14" x14ac:dyDescent="0.3">
      <c r="A167" s="3" t="s">
        <v>426</v>
      </c>
      <c r="B167" s="1" t="s">
        <v>160</v>
      </c>
      <c r="C167" s="1" t="s">
        <v>40</v>
      </c>
      <c r="D167" s="1" t="str">
        <f>_xlfn.XLOOKUP(Table14[[#This Row],[Restaurant ID]],Table2[Restaurant ID],Table2[Restaurant Name2],"Not Found",0)</f>
        <v>Biryani Express</v>
      </c>
      <c r="E167" s="1" t="s">
        <v>31</v>
      </c>
      <c r="F167" s="12">
        <v>46035</v>
      </c>
      <c r="G167" s="12">
        <v>46035</v>
      </c>
      <c r="H167" s="12" t="str">
        <f>TEXT(Table14[[#This Row],[Delivery Date]],"dddd")</f>
        <v>Tuesday</v>
      </c>
      <c r="I167" s="1" t="s">
        <v>22</v>
      </c>
      <c r="J167" s="1">
        <v>46</v>
      </c>
      <c r="K167" s="1">
        <v>65</v>
      </c>
      <c r="L167" s="1">
        <v>720</v>
      </c>
      <c r="M167" s="1" t="s">
        <v>75</v>
      </c>
      <c r="N167" s="4">
        <v>3</v>
      </c>
    </row>
    <row r="168" spans="1:14" x14ac:dyDescent="0.3">
      <c r="A168" s="3" t="s">
        <v>428</v>
      </c>
      <c r="B168" s="1" t="s">
        <v>163</v>
      </c>
      <c r="C168" s="1" t="s">
        <v>45</v>
      </c>
      <c r="D168" s="1" t="str">
        <f>_xlfn.XLOOKUP(Table14[[#This Row],[Restaurant ID]],Table2[Restaurant ID],Table2[Restaurant Name2],"Not Found",0)</f>
        <v>Green Leaf</v>
      </c>
      <c r="E168" s="1" t="s">
        <v>36</v>
      </c>
      <c r="F168" s="12">
        <v>46036</v>
      </c>
      <c r="G168" s="12">
        <v>46036</v>
      </c>
      <c r="H168" s="12" t="str">
        <f>TEXT(Table14[[#This Row],[Delivery Date]],"dddd")</f>
        <v>Wednesday</v>
      </c>
      <c r="I168" s="1" t="s">
        <v>27</v>
      </c>
      <c r="J168" s="1">
        <v>25</v>
      </c>
      <c r="K168" s="1">
        <v>30</v>
      </c>
      <c r="L168" s="1">
        <v>580</v>
      </c>
      <c r="M168" s="1" t="s">
        <v>17</v>
      </c>
      <c r="N168" s="4">
        <v>4.5</v>
      </c>
    </row>
    <row r="169" spans="1:14" x14ac:dyDescent="0.3">
      <c r="A169" s="3" t="s">
        <v>430</v>
      </c>
      <c r="B169" s="1" t="s">
        <v>166</v>
      </c>
      <c r="C169" s="1" t="s">
        <v>49</v>
      </c>
      <c r="D169" s="1" t="str">
        <f>_xlfn.XLOOKUP(Table14[[#This Row],[Restaurant ID]],Table2[Restaurant ID],Table2[Restaurant Name2],"Not Found",0)</f>
        <v>Cafe Aroma</v>
      </c>
      <c r="E169" s="1" t="s">
        <v>41</v>
      </c>
      <c r="F169" s="12">
        <v>46037</v>
      </c>
      <c r="G169" s="12">
        <v>46037</v>
      </c>
      <c r="H169" s="12" t="str">
        <f>TEXT(Table14[[#This Row],[Delivery Date]],"dddd")</f>
        <v>Thursday</v>
      </c>
      <c r="I169" s="1" t="s">
        <v>32</v>
      </c>
      <c r="J169" s="1">
        <v>37</v>
      </c>
      <c r="K169" s="1">
        <v>45</v>
      </c>
      <c r="L169" s="1">
        <v>510</v>
      </c>
      <c r="M169" s="1" t="s">
        <v>17</v>
      </c>
      <c r="N169" s="4">
        <v>4</v>
      </c>
    </row>
    <row r="170" spans="1:14" x14ac:dyDescent="0.3">
      <c r="A170" s="3" t="s">
        <v>432</v>
      </c>
      <c r="B170" s="1" t="s">
        <v>169</v>
      </c>
      <c r="C170" s="1" t="s">
        <v>52</v>
      </c>
      <c r="D170" s="1" t="str">
        <f>_xlfn.XLOOKUP(Table14[[#This Row],[Restaurant ID]],Table2[Restaurant ID],Table2[Restaurant Name2],"Not Found",0)</f>
        <v>Royal Thali</v>
      </c>
      <c r="E170" s="1" t="s">
        <v>15</v>
      </c>
      <c r="F170" s="12">
        <v>46038</v>
      </c>
      <c r="G170" s="12">
        <v>46038</v>
      </c>
      <c r="H170" s="12" t="str">
        <f>TEXT(Table14[[#This Row],[Delivery Date]],"dddd")</f>
        <v>Friday</v>
      </c>
      <c r="I170" s="1" t="s">
        <v>37</v>
      </c>
      <c r="J170" s="1">
        <v>28</v>
      </c>
      <c r="K170" s="1">
        <v>35</v>
      </c>
      <c r="L170" s="1">
        <v>800</v>
      </c>
      <c r="M170" s="1" t="s">
        <v>17</v>
      </c>
      <c r="N170" s="4">
        <v>5</v>
      </c>
    </row>
    <row r="171" spans="1:14" x14ac:dyDescent="0.3">
      <c r="A171" s="3" t="s">
        <v>434</v>
      </c>
      <c r="B171" s="1" t="s">
        <v>172</v>
      </c>
      <c r="C171" s="1" t="s">
        <v>55</v>
      </c>
      <c r="D171" s="1" t="str">
        <f>_xlfn.XLOOKUP(Table14[[#This Row],[Restaurant ID]],Table2[Restaurant ID],Table2[Restaurant Name2],"Not Found",0)</f>
        <v>Chinese Wok</v>
      </c>
      <c r="E171" s="1" t="s">
        <v>21</v>
      </c>
      <c r="F171" s="12">
        <v>46039</v>
      </c>
      <c r="G171" s="12">
        <v>46039</v>
      </c>
      <c r="H171" s="12" t="str">
        <f>TEXT(Table14[[#This Row],[Delivery Date]],"dddd")</f>
        <v>Saturday</v>
      </c>
      <c r="I171" s="1" t="s">
        <v>42</v>
      </c>
      <c r="J171" s="1">
        <v>41</v>
      </c>
      <c r="K171" s="1">
        <v>55</v>
      </c>
      <c r="L171" s="1">
        <v>650</v>
      </c>
      <c r="M171" s="1" t="s">
        <v>17</v>
      </c>
      <c r="N171" s="4">
        <v>3.5</v>
      </c>
    </row>
    <row r="172" spans="1:14" x14ac:dyDescent="0.3">
      <c r="A172" s="3" t="s">
        <v>436</v>
      </c>
      <c r="B172" s="1" t="s">
        <v>175</v>
      </c>
      <c r="C172" s="1" t="s">
        <v>59</v>
      </c>
      <c r="D172" s="1" t="str">
        <f>_xlfn.XLOOKUP(Table14[[#This Row],[Restaurant ID]],Table2[Restaurant ID],Table2[Restaurant Name2],"Not Found",0)</f>
        <v>Food Junction</v>
      </c>
      <c r="E172" s="1" t="s">
        <v>26</v>
      </c>
      <c r="F172" s="12">
        <v>46040</v>
      </c>
      <c r="G172" s="12">
        <v>46040</v>
      </c>
      <c r="H172" s="12" t="str">
        <f>TEXT(Table14[[#This Row],[Delivery Date]],"dddd")</f>
        <v>Sunday</v>
      </c>
      <c r="I172" s="1" t="s">
        <v>46</v>
      </c>
      <c r="J172" s="1">
        <v>30</v>
      </c>
      <c r="K172" s="1">
        <v>40</v>
      </c>
      <c r="L172" s="1">
        <v>1030</v>
      </c>
      <c r="M172" s="1" t="s">
        <v>17</v>
      </c>
      <c r="N172" s="4">
        <v>4.5</v>
      </c>
    </row>
    <row r="173" spans="1:14" x14ac:dyDescent="0.3">
      <c r="A173" s="3" t="s">
        <v>438</v>
      </c>
      <c r="B173" s="1" t="s">
        <v>178</v>
      </c>
      <c r="C173" s="1" t="s">
        <v>62</v>
      </c>
      <c r="D173" s="1" t="str">
        <f>_xlfn.XLOOKUP(Table14[[#This Row],[Restaurant ID]],Table2[Restaurant ID],Table2[Restaurant Name2],"Not Found",0)</f>
        <v>Wrap House</v>
      </c>
      <c r="E173" s="1" t="s">
        <v>31</v>
      </c>
      <c r="F173" s="12">
        <v>46041</v>
      </c>
      <c r="G173" s="12">
        <v>46041</v>
      </c>
      <c r="H173" s="12" t="str">
        <f>TEXT(Table14[[#This Row],[Delivery Date]],"dddd")</f>
        <v>Monday</v>
      </c>
      <c r="I173" s="1" t="s">
        <v>16</v>
      </c>
      <c r="J173" s="1">
        <v>32</v>
      </c>
      <c r="K173" s="1">
        <v>40</v>
      </c>
      <c r="L173" s="1">
        <v>470</v>
      </c>
      <c r="M173" s="1" t="s">
        <v>17</v>
      </c>
      <c r="N173" s="4">
        <v>4</v>
      </c>
    </row>
    <row r="174" spans="1:14" x14ac:dyDescent="0.3">
      <c r="A174" s="3" t="s">
        <v>440</v>
      </c>
      <c r="B174" s="1" t="s">
        <v>181</v>
      </c>
      <c r="C174" s="1" t="s">
        <v>65</v>
      </c>
      <c r="D174" s="1" t="str">
        <f>_xlfn.XLOOKUP(Table14[[#This Row],[Restaurant ID]],Table2[Restaurant ID],Table2[Restaurant Name2],"Not Found",0)</f>
        <v>Curry Palace</v>
      </c>
      <c r="E174" s="1" t="s">
        <v>36</v>
      </c>
      <c r="F174" s="12">
        <v>46042</v>
      </c>
      <c r="G174" s="12">
        <v>46042</v>
      </c>
      <c r="H174" s="12" t="str">
        <f>TEXT(Table14[[#This Row],[Delivery Date]],"dddd")</f>
        <v>Tuesday</v>
      </c>
      <c r="I174" s="1" t="s">
        <v>22</v>
      </c>
      <c r="J174" s="1">
        <v>36</v>
      </c>
      <c r="K174" s="1">
        <v>45</v>
      </c>
      <c r="L174" s="1">
        <v>830</v>
      </c>
      <c r="M174" s="1" t="s">
        <v>17</v>
      </c>
      <c r="N174" s="4">
        <v>5</v>
      </c>
    </row>
    <row r="175" spans="1:14" x14ac:dyDescent="0.3">
      <c r="A175" s="3" t="s">
        <v>442</v>
      </c>
      <c r="B175" s="1" t="s">
        <v>184</v>
      </c>
      <c r="C175" s="1" t="s">
        <v>69</v>
      </c>
      <c r="D175" s="1" t="str">
        <f>_xlfn.XLOOKUP(Table14[[#This Row],[Restaurant ID]],Table2[Restaurant ID],Table2[Restaurant Name2],"Not Found",0)</f>
        <v>Momos Magic</v>
      </c>
      <c r="E175" s="1" t="s">
        <v>41</v>
      </c>
      <c r="F175" s="12">
        <v>46043</v>
      </c>
      <c r="G175" s="12">
        <v>46043</v>
      </c>
      <c r="H175" s="12" t="str">
        <f>TEXT(Table14[[#This Row],[Delivery Date]],"dddd")</f>
        <v>Wednesday</v>
      </c>
      <c r="I175" s="1" t="s">
        <v>27</v>
      </c>
      <c r="J175" s="1">
        <v>44</v>
      </c>
      <c r="K175" s="1">
        <v>60</v>
      </c>
      <c r="L175" s="1">
        <v>560</v>
      </c>
      <c r="M175" s="1" t="s">
        <v>75</v>
      </c>
      <c r="N175" s="4">
        <v>3</v>
      </c>
    </row>
    <row r="176" spans="1:14" x14ac:dyDescent="0.3">
      <c r="A176" s="3" t="s">
        <v>444</v>
      </c>
      <c r="B176" s="1" t="s">
        <v>187</v>
      </c>
      <c r="C176" s="1" t="s">
        <v>73</v>
      </c>
      <c r="D176" s="1" t="str">
        <f>_xlfn.XLOOKUP(Table14[[#This Row],[Restaurant ID]],Table2[Restaurant ID],Table2[Restaurant Name2],"Not Found",0)</f>
        <v>South Spice</v>
      </c>
      <c r="E176" s="1" t="s">
        <v>15</v>
      </c>
      <c r="F176" s="12">
        <v>46044</v>
      </c>
      <c r="G176" s="12">
        <v>46044</v>
      </c>
      <c r="H176" s="12" t="str">
        <f>TEXT(Table14[[#This Row],[Delivery Date]],"dddd")</f>
        <v>Thursday</v>
      </c>
      <c r="I176" s="1" t="s">
        <v>32</v>
      </c>
      <c r="J176" s="1">
        <v>31</v>
      </c>
      <c r="K176" s="1">
        <v>40</v>
      </c>
      <c r="L176" s="1">
        <v>940</v>
      </c>
      <c r="M176" s="1" t="s">
        <v>17</v>
      </c>
      <c r="N176" s="4">
        <v>4.5</v>
      </c>
    </row>
    <row r="177" spans="1:14" x14ac:dyDescent="0.3">
      <c r="A177" s="3" t="s">
        <v>446</v>
      </c>
      <c r="B177" s="1" t="s">
        <v>190</v>
      </c>
      <c r="C177" s="1" t="s">
        <v>78</v>
      </c>
      <c r="D177" s="1" t="str">
        <f>_xlfn.XLOOKUP(Table14[[#This Row],[Restaurant ID]],Table2[Restaurant ID],Table2[Restaurant Name2],"Not Found",0)</f>
        <v>Pasta Street</v>
      </c>
      <c r="E177" s="1" t="s">
        <v>21</v>
      </c>
      <c r="F177" s="12">
        <v>46045</v>
      </c>
      <c r="G177" s="12">
        <v>46045</v>
      </c>
      <c r="H177" s="12" t="str">
        <f>TEXT(Table14[[#This Row],[Delivery Date]],"dddd")</f>
        <v>Friday</v>
      </c>
      <c r="I177" s="1" t="s">
        <v>531</v>
      </c>
      <c r="J177" s="1">
        <v>26</v>
      </c>
      <c r="K177" s="1">
        <v>30</v>
      </c>
      <c r="L177" s="1">
        <v>700</v>
      </c>
      <c r="M177" s="1" t="s">
        <v>17</v>
      </c>
      <c r="N177" s="4">
        <v>4</v>
      </c>
    </row>
    <row r="178" spans="1:14" x14ac:dyDescent="0.3">
      <c r="A178" s="3" t="s">
        <v>448</v>
      </c>
      <c r="B178" s="1" t="s">
        <v>193</v>
      </c>
      <c r="C178" s="1" t="s">
        <v>82</v>
      </c>
      <c r="D178" s="1" t="str">
        <f>_xlfn.XLOOKUP(Table14[[#This Row],[Restaurant ID]],Table2[Restaurant ID],Table2[Restaurant Name2],"Not Found",0)</f>
        <v>Chaat Corner</v>
      </c>
      <c r="E178" s="1" t="s">
        <v>26</v>
      </c>
      <c r="F178" s="12">
        <v>46046</v>
      </c>
      <c r="G178" s="12">
        <v>46046</v>
      </c>
      <c r="H178" s="12" t="str">
        <f>TEXT(Table14[[#This Row],[Delivery Date]],"dddd")</f>
        <v>Saturday</v>
      </c>
      <c r="I178" s="1" t="s">
        <v>37</v>
      </c>
      <c r="J178" s="1">
        <v>35</v>
      </c>
      <c r="K178" s="1">
        <v>45</v>
      </c>
      <c r="L178" s="1">
        <v>400</v>
      </c>
      <c r="M178" s="1" t="s">
        <v>17</v>
      </c>
      <c r="N178" s="4">
        <v>5</v>
      </c>
    </row>
    <row r="179" spans="1:14" x14ac:dyDescent="0.3">
      <c r="A179" s="3" t="s">
        <v>450</v>
      </c>
      <c r="B179" s="1" t="s">
        <v>196</v>
      </c>
      <c r="C179" s="1" t="s">
        <v>86</v>
      </c>
      <c r="D179" s="1" t="str">
        <f>_xlfn.XLOOKUP(Table14[[#This Row],[Restaurant ID]],Table2[Restaurant ID],Table2[Restaurant Name2],"Not Found",0)</f>
        <v>Grill Nation</v>
      </c>
      <c r="E179" s="1" t="s">
        <v>31</v>
      </c>
      <c r="F179" s="12">
        <v>46047</v>
      </c>
      <c r="G179" s="12">
        <v>46047</v>
      </c>
      <c r="H179" s="12" t="str">
        <f>TEXT(Table14[[#This Row],[Delivery Date]],"dddd")</f>
        <v>Sunday</v>
      </c>
      <c r="I179" s="1" t="s">
        <v>42</v>
      </c>
      <c r="J179" s="1">
        <v>39</v>
      </c>
      <c r="K179" s="1">
        <v>50</v>
      </c>
      <c r="L179" s="1">
        <v>1020</v>
      </c>
      <c r="M179" s="1" t="s">
        <v>17</v>
      </c>
      <c r="N179" s="4">
        <v>4</v>
      </c>
    </row>
    <row r="180" spans="1:14" x14ac:dyDescent="0.3">
      <c r="A180" s="3" t="s">
        <v>452</v>
      </c>
      <c r="B180" s="1" t="s">
        <v>199</v>
      </c>
      <c r="C180" s="1" t="s">
        <v>90</v>
      </c>
      <c r="D180" s="1" t="str">
        <f>_xlfn.XLOOKUP(Table14[[#This Row],[Restaurant ID]],Table2[Restaurant ID],Table2[Restaurant Name2],"Not Found",0)</f>
        <v>Kebab Kitchen</v>
      </c>
      <c r="E180" s="1" t="s">
        <v>36</v>
      </c>
      <c r="F180" s="12">
        <v>46048</v>
      </c>
      <c r="G180" s="12">
        <v>46048</v>
      </c>
      <c r="H180" s="12" t="str">
        <f>TEXT(Table14[[#This Row],[Delivery Date]],"dddd")</f>
        <v>Monday</v>
      </c>
      <c r="I180" s="1" t="s">
        <v>46</v>
      </c>
      <c r="J180" s="1">
        <v>27</v>
      </c>
      <c r="K180" s="1">
        <v>35</v>
      </c>
      <c r="L180" s="1">
        <v>810</v>
      </c>
      <c r="M180" s="1" t="s">
        <v>17</v>
      </c>
      <c r="N180" s="4">
        <v>4.5</v>
      </c>
    </row>
    <row r="181" spans="1:14" x14ac:dyDescent="0.3">
      <c r="A181" s="3" t="s">
        <v>454</v>
      </c>
      <c r="B181" s="1" t="s">
        <v>202</v>
      </c>
      <c r="C181" s="1" t="s">
        <v>94</v>
      </c>
      <c r="D181" s="1" t="str">
        <f>_xlfn.XLOOKUP(Table14[[#This Row],[Restaurant ID]],Table2[Restaurant ID],Table2[Restaurant Name2],"Not Found",0)</f>
        <v>Urban Tiffin</v>
      </c>
      <c r="E181" s="1" t="s">
        <v>41</v>
      </c>
      <c r="F181" s="12">
        <v>46049</v>
      </c>
      <c r="G181" s="12">
        <v>46049</v>
      </c>
      <c r="H181" s="12" t="str">
        <f>TEXT(Table14[[#This Row],[Delivery Date]],"dddd")</f>
        <v>Tuesday</v>
      </c>
      <c r="I181" s="1" t="s">
        <v>16</v>
      </c>
      <c r="J181" s="1">
        <v>45</v>
      </c>
      <c r="K181" s="1">
        <v>60</v>
      </c>
      <c r="L181" s="1">
        <v>620</v>
      </c>
      <c r="M181" s="1" t="s">
        <v>75</v>
      </c>
      <c r="N181" s="4">
        <v>3.5</v>
      </c>
    </row>
    <row r="182" spans="1:14" x14ac:dyDescent="0.3">
      <c r="A182" s="3" t="s">
        <v>456</v>
      </c>
      <c r="B182" s="1" t="s">
        <v>205</v>
      </c>
      <c r="C182" s="1" t="s">
        <v>14</v>
      </c>
      <c r="D182" s="1" t="str">
        <f>_xlfn.XLOOKUP(Table14[[#This Row],[Restaurant ID]],Table2[Restaurant ID],Table2[Restaurant Name2],"Not Found",0)</f>
        <v>Spice Villa</v>
      </c>
      <c r="E182" s="1" t="s">
        <v>15</v>
      </c>
      <c r="F182" s="12">
        <v>46050</v>
      </c>
      <c r="G182" s="12">
        <v>46050</v>
      </c>
      <c r="H182" s="12" t="str">
        <f>TEXT(Table14[[#This Row],[Delivery Date]],"dddd")</f>
        <v>Wednesday</v>
      </c>
      <c r="I182" s="1" t="s">
        <v>22</v>
      </c>
      <c r="J182" s="1">
        <v>30</v>
      </c>
      <c r="K182" s="1">
        <v>35</v>
      </c>
      <c r="L182" s="1">
        <v>560</v>
      </c>
      <c r="M182" s="1" t="s">
        <v>17</v>
      </c>
      <c r="N182" s="4">
        <v>4.5</v>
      </c>
    </row>
    <row r="183" spans="1:14" x14ac:dyDescent="0.3">
      <c r="A183" s="3" t="s">
        <v>458</v>
      </c>
      <c r="B183" s="1" t="s">
        <v>208</v>
      </c>
      <c r="C183" s="1" t="s">
        <v>20</v>
      </c>
      <c r="D183" s="1" t="str">
        <f>_xlfn.XLOOKUP(Table14[[#This Row],[Restaurant ID]],Table2[Restaurant ID],Table2[Restaurant Name2],"Not Found",0)</f>
        <v>Pizza Hub</v>
      </c>
      <c r="E183" s="1" t="s">
        <v>21</v>
      </c>
      <c r="F183" s="12">
        <v>46051</v>
      </c>
      <c r="G183" s="12">
        <v>46051</v>
      </c>
      <c r="H183" s="12" t="str">
        <f>TEXT(Table14[[#This Row],[Delivery Date]],"dddd")</f>
        <v>Thursday</v>
      </c>
      <c r="I183" s="1" t="s">
        <v>27</v>
      </c>
      <c r="J183" s="1">
        <v>38</v>
      </c>
      <c r="K183" s="1">
        <v>50</v>
      </c>
      <c r="L183" s="1">
        <v>720</v>
      </c>
      <c r="M183" s="1" t="s">
        <v>17</v>
      </c>
      <c r="N183" s="4">
        <v>4</v>
      </c>
    </row>
    <row r="184" spans="1:14" x14ac:dyDescent="0.3">
      <c r="A184" s="3" t="s">
        <v>460</v>
      </c>
      <c r="B184" s="1" t="s">
        <v>210</v>
      </c>
      <c r="C184" s="1" t="s">
        <v>25</v>
      </c>
      <c r="D184" s="1" t="str">
        <f>_xlfn.XLOOKUP(Table14[[#This Row],[Restaurant ID]],Table2[Restaurant ID],Table2[Restaurant Name2],"Not Found",0)</f>
        <v>Tandoori House</v>
      </c>
      <c r="E184" s="1" t="s">
        <v>26</v>
      </c>
      <c r="F184" s="12">
        <v>46052</v>
      </c>
      <c r="G184" s="12">
        <v>46052</v>
      </c>
      <c r="H184" s="12" t="str">
        <f>TEXT(Table14[[#This Row],[Delivery Date]],"dddd")</f>
        <v>Friday</v>
      </c>
      <c r="I184" s="1" t="s">
        <v>32</v>
      </c>
      <c r="J184" s="1">
        <v>43</v>
      </c>
      <c r="K184" s="1">
        <v>60</v>
      </c>
      <c r="L184" s="1">
        <v>900</v>
      </c>
      <c r="M184" s="1" t="s">
        <v>75</v>
      </c>
      <c r="N184" s="4">
        <v>3</v>
      </c>
    </row>
    <row r="185" spans="1:14" x14ac:dyDescent="0.3">
      <c r="A185" s="3" t="s">
        <v>462</v>
      </c>
      <c r="B185" s="1" t="s">
        <v>212</v>
      </c>
      <c r="C185" s="1" t="s">
        <v>30</v>
      </c>
      <c r="D185" s="1" t="str">
        <f>_xlfn.XLOOKUP(Table14[[#This Row],[Restaurant ID]],Table2[Restaurant ID],Table2[Restaurant Name2],"Not Found",0)</f>
        <v>Burger Point</v>
      </c>
      <c r="E185" s="1" t="s">
        <v>31</v>
      </c>
      <c r="F185" s="12">
        <v>46053</v>
      </c>
      <c r="G185" s="12">
        <v>46053</v>
      </c>
      <c r="H185" s="12" t="str">
        <f>TEXT(Table14[[#This Row],[Delivery Date]],"dddd")</f>
        <v>Saturday</v>
      </c>
      <c r="I185" s="1" t="s">
        <v>37</v>
      </c>
      <c r="J185" s="1">
        <v>27</v>
      </c>
      <c r="K185" s="1">
        <v>30</v>
      </c>
      <c r="L185" s="1">
        <v>450</v>
      </c>
      <c r="M185" s="1" t="s">
        <v>17</v>
      </c>
      <c r="N185" s="4">
        <v>5</v>
      </c>
    </row>
    <row r="186" spans="1:14" x14ac:dyDescent="0.3">
      <c r="A186" s="3" t="s">
        <v>464</v>
      </c>
      <c r="B186" s="1" t="s">
        <v>214</v>
      </c>
      <c r="C186" s="1" t="s">
        <v>35</v>
      </c>
      <c r="D186" s="1" t="str">
        <f>_xlfn.XLOOKUP(Table14[[#This Row],[Restaurant ID]],Table2[Restaurant ID],Table2[Restaurant Name2],"Not Found",0)</f>
        <v>Dosa Corner</v>
      </c>
      <c r="E186" s="1" t="s">
        <v>36</v>
      </c>
      <c r="F186" s="12">
        <v>46054</v>
      </c>
      <c r="G186" s="12">
        <v>46054</v>
      </c>
      <c r="H186" s="12" t="str">
        <f>TEXT(Table14[[#This Row],[Delivery Date]],"dddd")</f>
        <v>Sunday</v>
      </c>
      <c r="I186" s="1" t="s">
        <v>42</v>
      </c>
      <c r="J186" s="1">
        <v>34</v>
      </c>
      <c r="K186" s="1">
        <v>45</v>
      </c>
      <c r="L186" s="1">
        <v>990</v>
      </c>
      <c r="M186" s="1" t="s">
        <v>17</v>
      </c>
      <c r="N186" s="4">
        <v>4.5</v>
      </c>
    </row>
    <row r="187" spans="1:14" x14ac:dyDescent="0.3">
      <c r="A187" s="3" t="s">
        <v>465</v>
      </c>
      <c r="B187" s="1" t="s">
        <v>216</v>
      </c>
      <c r="C187" s="1" t="s">
        <v>40</v>
      </c>
      <c r="D187" s="1" t="str">
        <f>_xlfn.XLOOKUP(Table14[[#This Row],[Restaurant ID]],Table2[Restaurant ID],Table2[Restaurant Name2],"Not Found",0)</f>
        <v>Biryani Express</v>
      </c>
      <c r="E187" s="1" t="s">
        <v>41</v>
      </c>
      <c r="F187" s="12">
        <v>46055</v>
      </c>
      <c r="G187" s="12">
        <v>46055</v>
      </c>
      <c r="H187" s="12" t="str">
        <f>TEXT(Table14[[#This Row],[Delivery Date]],"dddd")</f>
        <v>Monday</v>
      </c>
      <c r="I187" s="1" t="s">
        <v>46</v>
      </c>
      <c r="J187" s="1">
        <v>40</v>
      </c>
      <c r="K187" s="1">
        <v>55</v>
      </c>
      <c r="L187" s="1">
        <v>740</v>
      </c>
      <c r="M187" s="1" t="s">
        <v>17</v>
      </c>
      <c r="N187" s="4">
        <v>4</v>
      </c>
    </row>
    <row r="188" spans="1:14" x14ac:dyDescent="0.3">
      <c r="A188" s="3" t="s">
        <v>466</v>
      </c>
      <c r="B188" s="1" t="s">
        <v>218</v>
      </c>
      <c r="C188" s="1" t="s">
        <v>45</v>
      </c>
      <c r="D188" s="1" t="str">
        <f>_xlfn.XLOOKUP(Table14[[#This Row],[Restaurant ID]],Table2[Restaurant ID],Table2[Restaurant Name2],"Not Found",0)</f>
        <v>Green Leaf</v>
      </c>
      <c r="E188" s="1" t="s">
        <v>15</v>
      </c>
      <c r="F188" s="12">
        <v>46056</v>
      </c>
      <c r="G188" s="12">
        <v>46056</v>
      </c>
      <c r="H188" s="12" t="str">
        <f>TEXT(Table14[[#This Row],[Delivery Date]],"dddd")</f>
        <v>Tuesday</v>
      </c>
      <c r="I188" s="1" t="s">
        <v>16</v>
      </c>
      <c r="J188" s="1">
        <v>25</v>
      </c>
      <c r="K188" s="1">
        <v>30</v>
      </c>
      <c r="L188" s="1">
        <v>600</v>
      </c>
      <c r="M188" s="1" t="s">
        <v>17</v>
      </c>
      <c r="N188" s="4">
        <v>4.5</v>
      </c>
    </row>
    <row r="189" spans="1:14" x14ac:dyDescent="0.3">
      <c r="A189" s="3" t="s">
        <v>467</v>
      </c>
      <c r="B189" s="1" t="s">
        <v>220</v>
      </c>
      <c r="C189" s="1" t="s">
        <v>49</v>
      </c>
      <c r="D189" s="1" t="str">
        <f>_xlfn.XLOOKUP(Table14[[#This Row],[Restaurant ID]],Table2[Restaurant ID],Table2[Restaurant Name2],"Not Found",0)</f>
        <v>Cafe Aroma</v>
      </c>
      <c r="E189" s="1" t="s">
        <v>21</v>
      </c>
      <c r="F189" s="12">
        <v>46057</v>
      </c>
      <c r="G189" s="12">
        <v>46057</v>
      </c>
      <c r="H189" s="12" t="str">
        <f>TEXT(Table14[[#This Row],[Delivery Date]],"dddd")</f>
        <v>Wednesday</v>
      </c>
      <c r="I189" s="1" t="s">
        <v>531</v>
      </c>
      <c r="J189" s="1">
        <v>35</v>
      </c>
      <c r="K189" s="1">
        <v>45</v>
      </c>
      <c r="L189" s="1">
        <v>520</v>
      </c>
      <c r="M189" s="1" t="s">
        <v>17</v>
      </c>
      <c r="N189" s="4">
        <v>4</v>
      </c>
    </row>
    <row r="190" spans="1:14" x14ac:dyDescent="0.3">
      <c r="A190" s="3" t="s">
        <v>468</v>
      </c>
      <c r="B190" s="1" t="s">
        <v>222</v>
      </c>
      <c r="C190" s="1" t="s">
        <v>52</v>
      </c>
      <c r="D190" s="1" t="str">
        <f>_xlfn.XLOOKUP(Table14[[#This Row],[Restaurant ID]],Table2[Restaurant ID],Table2[Restaurant Name2],"Not Found",0)</f>
        <v>Royal Thali</v>
      </c>
      <c r="E190" s="1" t="s">
        <v>26</v>
      </c>
      <c r="F190" s="12">
        <v>46058</v>
      </c>
      <c r="G190" s="12">
        <v>46058</v>
      </c>
      <c r="H190" s="12" t="str">
        <f>TEXT(Table14[[#This Row],[Delivery Date]],"dddd")</f>
        <v>Thursday</v>
      </c>
      <c r="I190" s="1" t="s">
        <v>22</v>
      </c>
      <c r="J190" s="1">
        <v>29</v>
      </c>
      <c r="K190" s="1">
        <v>35</v>
      </c>
      <c r="L190" s="1">
        <v>830</v>
      </c>
      <c r="M190" s="1" t="s">
        <v>17</v>
      </c>
      <c r="N190" s="4">
        <v>5</v>
      </c>
    </row>
    <row r="191" spans="1:14" x14ac:dyDescent="0.3">
      <c r="A191" s="3" t="s">
        <v>469</v>
      </c>
      <c r="B191" s="1" t="s">
        <v>224</v>
      </c>
      <c r="C191" s="1" t="s">
        <v>55</v>
      </c>
      <c r="D191" s="1" t="str">
        <f>_xlfn.XLOOKUP(Table14[[#This Row],[Restaurant ID]],Table2[Restaurant ID],Table2[Restaurant Name2],"Not Found",0)</f>
        <v>Chinese Wok</v>
      </c>
      <c r="E191" s="1" t="s">
        <v>31</v>
      </c>
      <c r="F191" s="12">
        <v>46059</v>
      </c>
      <c r="G191" s="12">
        <v>46059</v>
      </c>
      <c r="H191" s="12" t="str">
        <f>TEXT(Table14[[#This Row],[Delivery Date]],"dddd")</f>
        <v>Friday</v>
      </c>
      <c r="I191" s="1" t="s">
        <v>27</v>
      </c>
      <c r="J191" s="1">
        <v>47</v>
      </c>
      <c r="K191" s="1">
        <v>65</v>
      </c>
      <c r="L191" s="1">
        <v>670</v>
      </c>
      <c r="M191" s="1" t="s">
        <v>75</v>
      </c>
      <c r="N191" s="4">
        <v>3.5</v>
      </c>
    </row>
    <row r="192" spans="1:14" x14ac:dyDescent="0.3">
      <c r="A192" s="3" t="s">
        <v>470</v>
      </c>
      <c r="B192" s="1" t="s">
        <v>226</v>
      </c>
      <c r="C192" s="1" t="s">
        <v>59</v>
      </c>
      <c r="D192" s="1" t="str">
        <f>_xlfn.XLOOKUP(Table14[[#This Row],[Restaurant ID]],Table2[Restaurant ID],Table2[Restaurant Name2],"Not Found",0)</f>
        <v>Food Junction</v>
      </c>
      <c r="E192" s="1" t="s">
        <v>36</v>
      </c>
      <c r="F192" s="12">
        <v>46060</v>
      </c>
      <c r="G192" s="12">
        <v>46060</v>
      </c>
      <c r="H192" s="12" t="str">
        <f>TEXT(Table14[[#This Row],[Delivery Date]],"dddd")</f>
        <v>Saturday</v>
      </c>
      <c r="I192" s="1" t="s">
        <v>32</v>
      </c>
      <c r="J192" s="1">
        <v>32</v>
      </c>
      <c r="K192" s="1">
        <v>40</v>
      </c>
      <c r="L192" s="1">
        <v>1040</v>
      </c>
      <c r="M192" s="1" t="s">
        <v>17</v>
      </c>
      <c r="N192" s="4">
        <v>4.5</v>
      </c>
    </row>
    <row r="193" spans="1:14" x14ac:dyDescent="0.3">
      <c r="A193" s="3" t="s">
        <v>471</v>
      </c>
      <c r="B193" s="1" t="s">
        <v>228</v>
      </c>
      <c r="C193" s="1" t="s">
        <v>62</v>
      </c>
      <c r="D193" s="1" t="str">
        <f>_xlfn.XLOOKUP(Table14[[#This Row],[Restaurant ID]],Table2[Restaurant ID],Table2[Restaurant Name2],"Not Found",0)</f>
        <v>Wrap House</v>
      </c>
      <c r="E193" s="1" t="s">
        <v>41</v>
      </c>
      <c r="F193" s="12">
        <v>46061</v>
      </c>
      <c r="G193" s="12">
        <v>46061</v>
      </c>
      <c r="H193" s="12" t="str">
        <f>TEXT(Table14[[#This Row],[Delivery Date]],"dddd")</f>
        <v>Sunday</v>
      </c>
      <c r="I193" s="1" t="s">
        <v>37</v>
      </c>
      <c r="J193" s="1">
        <v>28</v>
      </c>
      <c r="K193" s="1">
        <v>35</v>
      </c>
      <c r="L193" s="1">
        <v>490</v>
      </c>
      <c r="M193" s="1" t="s">
        <v>17</v>
      </c>
      <c r="N193" s="4">
        <v>4</v>
      </c>
    </row>
    <row r="194" spans="1:14" x14ac:dyDescent="0.3">
      <c r="A194" s="3" t="s">
        <v>472</v>
      </c>
      <c r="B194" s="1" t="s">
        <v>230</v>
      </c>
      <c r="C194" s="1" t="s">
        <v>65</v>
      </c>
      <c r="D194" s="1" t="str">
        <f>_xlfn.XLOOKUP(Table14[[#This Row],[Restaurant ID]],Table2[Restaurant ID],Table2[Restaurant Name2],"Not Found",0)</f>
        <v>Curry Palace</v>
      </c>
      <c r="E194" s="1" t="s">
        <v>15</v>
      </c>
      <c r="F194" s="12">
        <v>46062</v>
      </c>
      <c r="G194" s="12">
        <v>46062</v>
      </c>
      <c r="H194" s="12" t="str">
        <f>TEXT(Table14[[#This Row],[Delivery Date]],"dddd")</f>
        <v>Monday</v>
      </c>
      <c r="I194" s="1" t="s">
        <v>42</v>
      </c>
      <c r="J194" s="1">
        <v>37</v>
      </c>
      <c r="K194" s="1">
        <v>50</v>
      </c>
      <c r="L194" s="1">
        <v>850</v>
      </c>
      <c r="M194" s="1" t="s">
        <v>17</v>
      </c>
      <c r="N194" s="4">
        <v>5</v>
      </c>
    </row>
    <row r="195" spans="1:14" x14ac:dyDescent="0.3">
      <c r="A195" s="3" t="s">
        <v>473</v>
      </c>
      <c r="B195" s="1" t="s">
        <v>232</v>
      </c>
      <c r="C195" s="1" t="s">
        <v>69</v>
      </c>
      <c r="D195" s="1" t="str">
        <f>_xlfn.XLOOKUP(Table14[[#This Row],[Restaurant ID]],Table2[Restaurant ID],Table2[Restaurant Name2],"Not Found",0)</f>
        <v>Momos Magic</v>
      </c>
      <c r="E195" s="1" t="s">
        <v>21</v>
      </c>
      <c r="F195" s="12">
        <v>46063</v>
      </c>
      <c r="G195" s="12">
        <v>46063</v>
      </c>
      <c r="H195" s="12" t="str">
        <f>TEXT(Table14[[#This Row],[Delivery Date]],"dddd")</f>
        <v>Tuesday</v>
      </c>
      <c r="I195" s="1" t="s">
        <v>46</v>
      </c>
      <c r="J195" s="1">
        <v>40</v>
      </c>
      <c r="K195" s="1">
        <v>55</v>
      </c>
      <c r="L195" s="1">
        <v>580</v>
      </c>
      <c r="M195" s="1" t="s">
        <v>17</v>
      </c>
      <c r="N195" s="4">
        <v>4</v>
      </c>
    </row>
    <row r="196" spans="1:14" x14ac:dyDescent="0.3">
      <c r="A196" s="3" t="s">
        <v>474</v>
      </c>
      <c r="B196" s="1" t="s">
        <v>235</v>
      </c>
      <c r="C196" s="1" t="s">
        <v>73</v>
      </c>
      <c r="D196" s="1" t="str">
        <f>_xlfn.XLOOKUP(Table14[[#This Row],[Restaurant ID]],Table2[Restaurant ID],Table2[Restaurant Name2],"Not Found",0)</f>
        <v>South Spice</v>
      </c>
      <c r="E196" s="1" t="s">
        <v>26</v>
      </c>
      <c r="F196" s="12">
        <v>46064</v>
      </c>
      <c r="G196" s="12">
        <v>46064</v>
      </c>
      <c r="H196" s="12" t="str">
        <f>TEXT(Table14[[#This Row],[Delivery Date]],"dddd")</f>
        <v>Wednesday</v>
      </c>
      <c r="I196" s="1" t="s">
        <v>16</v>
      </c>
      <c r="J196" s="1">
        <v>31</v>
      </c>
      <c r="K196" s="1">
        <v>40</v>
      </c>
      <c r="L196" s="1">
        <v>960</v>
      </c>
      <c r="M196" s="1" t="s">
        <v>17</v>
      </c>
      <c r="N196" s="4">
        <v>4.5</v>
      </c>
    </row>
    <row r="197" spans="1:14" x14ac:dyDescent="0.3">
      <c r="A197" s="3" t="s">
        <v>475</v>
      </c>
      <c r="B197" s="1" t="s">
        <v>238</v>
      </c>
      <c r="C197" s="1" t="s">
        <v>78</v>
      </c>
      <c r="D197" s="1" t="str">
        <f>_xlfn.XLOOKUP(Table14[[#This Row],[Restaurant ID]],Table2[Restaurant ID],Table2[Restaurant Name2],"Not Found",0)</f>
        <v>Pasta Street</v>
      </c>
      <c r="E197" s="1" t="s">
        <v>31</v>
      </c>
      <c r="F197" s="12">
        <v>46065</v>
      </c>
      <c r="G197" s="12">
        <v>46065</v>
      </c>
      <c r="H197" s="12" t="str">
        <f>TEXT(Table14[[#This Row],[Delivery Date]],"dddd")</f>
        <v>Thursday</v>
      </c>
      <c r="I197" s="1" t="s">
        <v>22</v>
      </c>
      <c r="J197" s="1">
        <v>33</v>
      </c>
      <c r="K197" s="1">
        <v>40</v>
      </c>
      <c r="L197" s="1">
        <v>710</v>
      </c>
      <c r="M197" s="1" t="s">
        <v>17</v>
      </c>
      <c r="N197" s="4">
        <v>4</v>
      </c>
    </row>
    <row r="198" spans="1:14" x14ac:dyDescent="0.3">
      <c r="A198" s="3" t="s">
        <v>476</v>
      </c>
      <c r="B198" s="1" t="s">
        <v>241</v>
      </c>
      <c r="C198" s="1" t="s">
        <v>82</v>
      </c>
      <c r="D198" s="1" t="str">
        <f>_xlfn.XLOOKUP(Table14[[#This Row],[Restaurant ID]],Table2[Restaurant ID],Table2[Restaurant Name2],"Not Found",0)</f>
        <v>Chaat Corner</v>
      </c>
      <c r="E198" s="1" t="s">
        <v>36</v>
      </c>
      <c r="F198" s="12">
        <v>46066</v>
      </c>
      <c r="G198" s="12">
        <v>46066</v>
      </c>
      <c r="H198" s="12" t="str">
        <f>TEXT(Table14[[#This Row],[Delivery Date]],"dddd")</f>
        <v>Friday</v>
      </c>
      <c r="I198" s="1" t="s">
        <v>27</v>
      </c>
      <c r="J198" s="1">
        <v>26</v>
      </c>
      <c r="K198" s="1">
        <v>30</v>
      </c>
      <c r="L198" s="1">
        <v>420</v>
      </c>
      <c r="M198" s="1" t="s">
        <v>17</v>
      </c>
      <c r="N198" s="4">
        <v>5</v>
      </c>
    </row>
    <row r="199" spans="1:14" x14ac:dyDescent="0.3">
      <c r="A199" s="3" t="s">
        <v>478</v>
      </c>
      <c r="B199" s="1" t="s">
        <v>244</v>
      </c>
      <c r="C199" s="1" t="s">
        <v>86</v>
      </c>
      <c r="D199" s="1" t="str">
        <f>_xlfn.XLOOKUP(Table14[[#This Row],[Restaurant ID]],Table2[Restaurant ID],Table2[Restaurant Name2],"Not Found",0)</f>
        <v>Grill Nation</v>
      </c>
      <c r="E199" s="1" t="s">
        <v>41</v>
      </c>
      <c r="F199" s="12">
        <v>46067</v>
      </c>
      <c r="G199" s="12">
        <v>46067</v>
      </c>
      <c r="H199" s="12" t="str">
        <f>TEXT(Table14[[#This Row],[Delivery Date]],"dddd")</f>
        <v>Saturday</v>
      </c>
      <c r="I199" s="1" t="s">
        <v>32</v>
      </c>
      <c r="J199" s="1">
        <v>42</v>
      </c>
      <c r="K199" s="1">
        <v>60</v>
      </c>
      <c r="L199" s="1">
        <v>1050</v>
      </c>
      <c r="M199" s="1" t="s">
        <v>75</v>
      </c>
      <c r="N199" s="4">
        <v>3</v>
      </c>
    </row>
    <row r="200" spans="1:14" x14ac:dyDescent="0.3">
      <c r="A200" s="3" t="s">
        <v>480</v>
      </c>
      <c r="B200" s="1" t="s">
        <v>247</v>
      </c>
      <c r="C200" s="1" t="s">
        <v>90</v>
      </c>
      <c r="D200" s="1" t="str">
        <f>_xlfn.XLOOKUP(Table14[[#This Row],[Restaurant ID]],Table2[Restaurant ID],Table2[Restaurant Name2],"Not Found",0)</f>
        <v>Kebab Kitchen</v>
      </c>
      <c r="E200" s="1" t="s">
        <v>15</v>
      </c>
      <c r="F200" s="12">
        <v>46068</v>
      </c>
      <c r="G200" s="12">
        <v>46068</v>
      </c>
      <c r="H200" s="12" t="str">
        <f>TEXT(Table14[[#This Row],[Delivery Date]],"dddd")</f>
        <v>Sunday</v>
      </c>
      <c r="I200" s="1" t="s">
        <v>37</v>
      </c>
      <c r="J200" s="1">
        <v>30</v>
      </c>
      <c r="K200" s="1">
        <v>35</v>
      </c>
      <c r="L200" s="1">
        <v>860</v>
      </c>
      <c r="M200" s="1" t="s">
        <v>17</v>
      </c>
      <c r="N200" s="4">
        <v>4.5</v>
      </c>
    </row>
    <row r="201" spans="1:14" x14ac:dyDescent="0.3">
      <c r="A201" s="8" t="s">
        <v>482</v>
      </c>
      <c r="B201" s="9" t="s">
        <v>250</v>
      </c>
      <c r="C201" s="9" t="s">
        <v>94</v>
      </c>
      <c r="D201" s="9" t="str">
        <f>_xlfn.XLOOKUP(Table14[[#This Row],[Restaurant ID]],Table2[Restaurant ID],Table2[Restaurant Name2],"Not Found",0)</f>
        <v>Urban Tiffin</v>
      </c>
      <c r="E201" s="9" t="s">
        <v>21</v>
      </c>
      <c r="F201" s="13">
        <v>46069</v>
      </c>
      <c r="G201" s="13">
        <v>46069</v>
      </c>
      <c r="H201" s="13" t="str">
        <f>TEXT(Table14[[#This Row],[Delivery Date]],"dddd")</f>
        <v>Monday</v>
      </c>
      <c r="I201" s="9" t="s">
        <v>42</v>
      </c>
      <c r="J201" s="9">
        <v>36</v>
      </c>
      <c r="K201" s="9">
        <v>45</v>
      </c>
      <c r="L201" s="9">
        <v>640</v>
      </c>
      <c r="M201" s="9" t="s">
        <v>17</v>
      </c>
      <c r="N201" s="10">
        <v>4</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FF2A0-7E0A-41BB-A20B-13C7DE442C79}">
  <dimension ref="A3:C10"/>
  <sheetViews>
    <sheetView workbookViewId="0">
      <selection activeCell="P7" sqref="P7"/>
    </sheetView>
  </sheetViews>
  <sheetFormatPr defaultRowHeight="14.4" x14ac:dyDescent="0.3"/>
  <cols>
    <col min="1" max="1" width="12.5546875" bestFit="1" customWidth="1"/>
    <col min="2" max="2" width="15.88671875" bestFit="1" customWidth="1"/>
    <col min="3" max="3" width="20.77734375" bestFit="1" customWidth="1"/>
  </cols>
  <sheetData>
    <row r="3" spans="1:3" x14ac:dyDescent="0.3">
      <c r="A3" s="15" t="s">
        <v>534</v>
      </c>
      <c r="B3" t="s">
        <v>537</v>
      </c>
      <c r="C3" t="s">
        <v>536</v>
      </c>
    </row>
    <row r="4" spans="1:3" x14ac:dyDescent="0.3">
      <c r="A4" s="16" t="s">
        <v>15</v>
      </c>
      <c r="B4" s="17">
        <v>34</v>
      </c>
      <c r="C4" s="17">
        <v>1295</v>
      </c>
    </row>
    <row r="5" spans="1:3" x14ac:dyDescent="0.3">
      <c r="A5" s="16" t="s">
        <v>36</v>
      </c>
      <c r="B5" s="17">
        <v>33</v>
      </c>
      <c r="C5" s="17">
        <v>1325</v>
      </c>
    </row>
    <row r="6" spans="1:3" x14ac:dyDescent="0.3">
      <c r="A6" s="16" t="s">
        <v>41</v>
      </c>
      <c r="B6" s="17">
        <v>33</v>
      </c>
      <c r="C6" s="17">
        <v>1610</v>
      </c>
    </row>
    <row r="7" spans="1:3" x14ac:dyDescent="0.3">
      <c r="A7" s="16" t="s">
        <v>26</v>
      </c>
      <c r="B7" s="17">
        <v>33</v>
      </c>
      <c r="C7" s="17">
        <v>1325</v>
      </c>
    </row>
    <row r="8" spans="1:3" x14ac:dyDescent="0.3">
      <c r="A8" s="16" t="s">
        <v>21</v>
      </c>
      <c r="B8" s="17">
        <v>34</v>
      </c>
      <c r="C8" s="17">
        <v>1515</v>
      </c>
    </row>
    <row r="9" spans="1:3" x14ac:dyDescent="0.3">
      <c r="A9" s="16" t="s">
        <v>31</v>
      </c>
      <c r="B9" s="17">
        <v>33</v>
      </c>
      <c r="C9" s="17">
        <v>1525</v>
      </c>
    </row>
    <row r="10" spans="1:3" x14ac:dyDescent="0.3">
      <c r="A10" s="16" t="s">
        <v>535</v>
      </c>
      <c r="B10" s="17">
        <v>200</v>
      </c>
      <c r="C10" s="17">
        <v>8595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DF43E-DA92-404B-8A69-02FBB526BBAC}">
  <dimension ref="A3:B9"/>
  <sheetViews>
    <sheetView workbookViewId="0">
      <selection activeCell="L9" sqref="L9"/>
    </sheetView>
  </sheetViews>
  <sheetFormatPr defaultRowHeight="14.4" x14ac:dyDescent="0.3"/>
  <cols>
    <col min="1" max="1" width="14" bestFit="1" customWidth="1"/>
    <col min="2" max="2" width="19.77734375" bestFit="1" customWidth="1"/>
  </cols>
  <sheetData>
    <row r="3" spans="1:2" x14ac:dyDescent="0.3">
      <c r="A3" s="15" t="s">
        <v>534</v>
      </c>
      <c r="B3" t="s">
        <v>539</v>
      </c>
    </row>
    <row r="4" spans="1:2" x14ac:dyDescent="0.3">
      <c r="A4" s="16" t="s">
        <v>517</v>
      </c>
      <c r="B4" s="17">
        <v>9950</v>
      </c>
    </row>
    <row r="5" spans="1:2" x14ac:dyDescent="0.3">
      <c r="A5" s="16" t="s">
        <v>527</v>
      </c>
      <c r="B5" s="17">
        <v>9720</v>
      </c>
    </row>
    <row r="6" spans="1:2" x14ac:dyDescent="0.3">
      <c r="A6" s="16" t="s">
        <v>503</v>
      </c>
      <c r="B6" s="17">
        <v>9440</v>
      </c>
    </row>
    <row r="7" spans="1:2" x14ac:dyDescent="0.3">
      <c r="A7" s="16" t="s">
        <v>523</v>
      </c>
      <c r="B7" s="17">
        <v>8920</v>
      </c>
    </row>
    <row r="8" spans="1:2" x14ac:dyDescent="0.3">
      <c r="A8" s="16" t="s">
        <v>497</v>
      </c>
      <c r="B8" s="17">
        <v>8400</v>
      </c>
    </row>
    <row r="9" spans="1:2" x14ac:dyDescent="0.3">
      <c r="A9" s="16" t="s">
        <v>535</v>
      </c>
      <c r="B9" s="17">
        <v>46430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2E2A8-7A98-4E9A-A917-AA9530B524C4}">
  <dimension ref="A1:W7"/>
  <sheetViews>
    <sheetView tabSelected="1" workbookViewId="0">
      <selection activeCell="T28" sqref="T28"/>
    </sheetView>
  </sheetViews>
  <sheetFormatPr defaultRowHeight="14.4" x14ac:dyDescent="0.3"/>
  <sheetData>
    <row r="1" spans="1:23" x14ac:dyDescent="0.3">
      <c r="A1" s="20" t="s">
        <v>538</v>
      </c>
      <c r="B1" s="20"/>
      <c r="C1" s="20"/>
      <c r="D1" s="20"/>
      <c r="E1" s="20"/>
      <c r="F1" s="20"/>
      <c r="G1" s="20"/>
      <c r="H1" s="20"/>
      <c r="I1" s="20"/>
      <c r="J1" s="20"/>
      <c r="K1" s="20"/>
      <c r="L1" s="20"/>
      <c r="M1" s="20"/>
      <c r="N1" s="20"/>
      <c r="O1" s="20"/>
      <c r="P1" s="20"/>
      <c r="Q1" s="20"/>
      <c r="R1" s="20"/>
      <c r="S1" s="20"/>
      <c r="T1" s="20"/>
      <c r="U1" s="20"/>
      <c r="V1" s="20"/>
      <c r="W1" s="20"/>
    </row>
    <row r="2" spans="1:23" x14ac:dyDescent="0.3">
      <c r="A2" s="20"/>
      <c r="B2" s="20"/>
      <c r="C2" s="20"/>
      <c r="D2" s="20"/>
      <c r="E2" s="20"/>
      <c r="F2" s="20"/>
      <c r="G2" s="20"/>
      <c r="H2" s="20"/>
      <c r="I2" s="20"/>
      <c r="J2" s="20"/>
      <c r="K2" s="20"/>
      <c r="L2" s="20"/>
      <c r="M2" s="20"/>
      <c r="N2" s="20"/>
      <c r="O2" s="20"/>
      <c r="P2" s="20"/>
      <c r="Q2" s="20"/>
      <c r="R2" s="20"/>
      <c r="S2" s="20"/>
      <c r="T2" s="20"/>
      <c r="U2" s="20"/>
      <c r="V2" s="20"/>
      <c r="W2" s="20"/>
    </row>
    <row r="3" spans="1:23" x14ac:dyDescent="0.3">
      <c r="A3" s="20"/>
      <c r="B3" s="20"/>
      <c r="C3" s="20"/>
      <c r="D3" s="20"/>
      <c r="E3" s="20"/>
      <c r="F3" s="20"/>
      <c r="G3" s="20"/>
      <c r="H3" s="20"/>
      <c r="I3" s="20"/>
      <c r="J3" s="20"/>
      <c r="K3" s="20"/>
      <c r="L3" s="20"/>
      <c r="M3" s="20"/>
      <c r="N3" s="20"/>
      <c r="O3" s="20"/>
      <c r="P3" s="20"/>
      <c r="Q3" s="20"/>
      <c r="R3" s="20"/>
      <c r="S3" s="20"/>
      <c r="T3" s="20"/>
      <c r="U3" s="20"/>
      <c r="V3" s="20"/>
      <c r="W3" s="20"/>
    </row>
    <row r="4" spans="1:23" x14ac:dyDescent="0.3">
      <c r="A4" s="18">
        <f>COUNTA('ORDER_DATA (Copy)'!A2:A201)</f>
        <v>200</v>
      </c>
      <c r="B4" s="18"/>
      <c r="C4" s="18"/>
      <c r="D4" s="18"/>
      <c r="E4" s="18"/>
      <c r="F4" s="21"/>
      <c r="G4" s="19">
        <f>AVERAGE('ORDER_DATA (Copy)'!J2:J201)</f>
        <v>33.909999999999997</v>
      </c>
      <c r="H4" s="19"/>
      <c r="I4" s="19"/>
      <c r="J4" s="19"/>
      <c r="K4" s="19"/>
      <c r="L4" s="19"/>
      <c r="M4" s="22"/>
      <c r="N4" s="18">
        <f>MIN('ORDER_DATA (Copy)'!L2:L201)</f>
        <v>320</v>
      </c>
      <c r="O4" s="18"/>
      <c r="P4" s="18"/>
      <c r="Q4" s="18"/>
      <c r="R4" s="23"/>
      <c r="S4" s="18">
        <f>MAX('ORDER_DATA (Copy)'!L2:L201)</f>
        <v>1050</v>
      </c>
      <c r="T4" s="18"/>
      <c r="U4" s="18"/>
      <c r="V4" s="18"/>
      <c r="W4" s="18"/>
    </row>
    <row r="5" spans="1:23" x14ac:dyDescent="0.3">
      <c r="A5" s="18"/>
      <c r="B5" s="18"/>
      <c r="C5" s="18"/>
      <c r="D5" s="18"/>
      <c r="E5" s="18"/>
      <c r="F5" s="21"/>
      <c r="G5" s="19"/>
      <c r="H5" s="19"/>
      <c r="I5" s="19"/>
      <c r="J5" s="19"/>
      <c r="K5" s="19"/>
      <c r="L5" s="19"/>
      <c r="M5" s="22"/>
      <c r="N5" s="18"/>
      <c r="O5" s="18"/>
      <c r="P5" s="18"/>
      <c r="Q5" s="18"/>
      <c r="R5" s="23"/>
      <c r="S5" s="18"/>
      <c r="T5" s="18"/>
      <c r="U5" s="18"/>
      <c r="V5" s="18"/>
      <c r="W5" s="18"/>
    </row>
    <row r="6" spans="1:23" x14ac:dyDescent="0.3">
      <c r="A6" s="18"/>
      <c r="B6" s="18"/>
      <c r="C6" s="18"/>
      <c r="D6" s="18"/>
      <c r="E6" s="18"/>
      <c r="F6" s="21"/>
      <c r="G6" s="19"/>
      <c r="H6" s="19"/>
      <c r="I6" s="19"/>
      <c r="J6" s="19"/>
      <c r="K6" s="19"/>
      <c r="L6" s="19"/>
      <c r="M6" s="22"/>
      <c r="N6" s="18"/>
      <c r="O6" s="18"/>
      <c r="P6" s="18"/>
      <c r="Q6" s="18"/>
      <c r="R6" s="23"/>
      <c r="S6" s="18"/>
      <c r="T6" s="18"/>
      <c r="U6" s="18"/>
      <c r="V6" s="18"/>
      <c r="W6" s="18"/>
    </row>
    <row r="7" spans="1:23" x14ac:dyDescent="0.3">
      <c r="A7" s="18"/>
      <c r="B7" s="18"/>
      <c r="C7" s="18"/>
      <c r="D7" s="18"/>
      <c r="E7" s="18"/>
      <c r="F7" s="21"/>
      <c r="G7" s="19"/>
      <c r="H7" s="19"/>
      <c r="I7" s="19"/>
      <c r="J7" s="19"/>
      <c r="K7" s="19"/>
      <c r="L7" s="19"/>
      <c r="M7" s="22"/>
      <c r="N7" s="18"/>
      <c r="O7" s="18"/>
      <c r="P7" s="18"/>
      <c r="Q7" s="18"/>
      <c r="R7" s="23"/>
      <c r="S7" s="18"/>
      <c r="T7" s="18"/>
      <c r="U7" s="18"/>
      <c r="V7" s="18"/>
      <c r="W7" s="18"/>
    </row>
  </sheetData>
  <mergeCells count="6">
    <mergeCell ref="A1:W3"/>
    <mergeCell ref="A4:E7"/>
    <mergeCell ref="N4:Q7"/>
    <mergeCell ref="S4:W7"/>
    <mergeCell ref="G4:L7"/>
    <mergeCell ref="F4:F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ORDER_DATA</vt:lpstr>
      <vt:lpstr>Restaurant_Details</vt:lpstr>
      <vt:lpstr>ORDER_DATA (Copy)</vt:lpstr>
      <vt:lpstr>Pivot_Summary</vt:lpstr>
      <vt:lpstr>TopRestaurant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vekariya hitesh</dc:creator>
  <cp:lastModifiedBy>vekariya hitesh</cp:lastModifiedBy>
  <dcterms:created xsi:type="dcterms:W3CDTF">2026-09-28T16:43:17Z</dcterms:created>
  <dcterms:modified xsi:type="dcterms:W3CDTF">2026-09-29T06:09:16Z</dcterms:modified>
</cp:coreProperties>
</file>