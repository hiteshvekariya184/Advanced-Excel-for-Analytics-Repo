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0\"/>
    </mc:Choice>
  </mc:AlternateContent>
  <xr:revisionPtr revIDLastSave="0" documentId="13_ncr:1_{7D8F4620-993E-4802-A470-CBF1F501292D}" xr6:coauthVersionLast="47" xr6:coauthVersionMax="47" xr10:uidLastSave="{00000000-0000-0000-0000-000000000000}"/>
  <bookViews>
    <workbookView xWindow="-108" yWindow="-108" windowWidth="23256" windowHeight="12576" xr2:uid="{C53EC689-E4F2-44BC-9F82-2C8F55A00A48}"/>
  </bookViews>
  <sheets>
    <sheet name="Tasks_01" sheetId="1" r:id="rId1"/>
    <sheet name="Tasks_02" sheetId="2" r:id="rId2"/>
    <sheet name="Tasks_03" sheetId="3" r:id="rId3"/>
    <sheet name="Tasks_04" sheetId="4" r:id="rId4"/>
    <sheet name="Tasks_0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5" l="1"/>
  <c r="I4" i="4" a="1"/>
  <c r="I4" i="4" s="1"/>
  <c r="I4" i="3" a="1"/>
  <c r="I4" i="3" s="1"/>
  <c r="I4" i="2"/>
  <c r="I4" i="1" a="1"/>
  <c r="I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<sst xmlns="http://schemas.openxmlformats.org/spreadsheetml/2006/main" count="200" uniqueCount="142">
  <si>
    <t>Product ID</t>
  </si>
  <si>
    <t>Product Name</t>
  </si>
  <si>
    <t>Category</t>
  </si>
  <si>
    <t>Price (₹)</t>
  </si>
  <si>
    <t>FK001</t>
  </si>
  <si>
    <t>Samsung Galaxy M35</t>
  </si>
  <si>
    <t>Mobile</t>
  </si>
  <si>
    <t>FK002</t>
  </si>
  <si>
    <t>boAt Rockerz 450</t>
  </si>
  <si>
    <t>Electronics</t>
  </si>
  <si>
    <t>FK003</t>
  </si>
  <si>
    <t>HP 15s Laptop</t>
  </si>
  <si>
    <t>Laptop</t>
  </si>
  <si>
    <t>FK004</t>
  </si>
  <si>
    <t>Noise ColorFit Pro</t>
  </si>
  <si>
    <t>Smartwatch</t>
  </si>
  <si>
    <t>FK005</t>
  </si>
  <si>
    <t>JBL Tune 510BT</t>
  </si>
  <si>
    <t>Headphones</t>
  </si>
  <si>
    <t>FK006</t>
  </si>
  <si>
    <t>Puma Running Shoes</t>
  </si>
  <si>
    <t>Footwear</t>
  </si>
  <si>
    <t>FK007</t>
  </si>
  <si>
    <t>Wildcraft Backpack</t>
  </si>
  <si>
    <t>Bags</t>
  </si>
  <si>
    <t>FK008</t>
  </si>
  <si>
    <t>Prestige Electric Kettle</t>
  </si>
  <si>
    <t>Kitchen</t>
  </si>
  <si>
    <t>FK009</t>
  </si>
  <si>
    <t>Logitech K380 Keyboard</t>
  </si>
  <si>
    <t>Computer Accessories</t>
  </si>
  <si>
    <t>FK010</t>
  </si>
  <si>
    <t>Mi LED Smart TV</t>
  </si>
  <si>
    <t>Television</t>
  </si>
  <si>
    <t>XLOOKUP(H4:H13,C4:C13,D4:D13,,0)</t>
  </si>
  <si>
    <t>Order ID</t>
  </si>
  <si>
    <t>Restaurant Name</t>
  </si>
  <si>
    <t>Order Date</t>
  </si>
  <si>
    <t>Amount (₹)</t>
  </si>
  <si>
    <t>Z001</t>
  </si>
  <si>
    <t>Spice Villa</t>
  </si>
  <si>
    <t>Z002</t>
  </si>
  <si>
    <t>Pizza Hub</t>
  </si>
  <si>
    <t>Z003</t>
  </si>
  <si>
    <t>Burger Point</t>
  </si>
  <si>
    <t>Z004</t>
  </si>
  <si>
    <t>Z005</t>
  </si>
  <si>
    <t>Tasty Bites</t>
  </si>
  <si>
    <t>Z006</t>
  </si>
  <si>
    <t>Z007</t>
  </si>
  <si>
    <t>Z008</t>
  </si>
  <si>
    <t>Z009</t>
  </si>
  <si>
    <t>Z010</t>
  </si>
  <si>
    <t>Restaurant name</t>
  </si>
  <si>
    <t>Amount</t>
  </si>
  <si>
    <t>Playlist Name</t>
  </si>
  <si>
    <t>Genre</t>
  </si>
  <si>
    <t>Created By</t>
  </si>
  <si>
    <t>Number of Songs</t>
  </si>
  <si>
    <t>Today's Top Hits</t>
  </si>
  <si>
    <t>Pop</t>
  </si>
  <si>
    <t>Spotify</t>
  </si>
  <si>
    <t>RapCaviar</t>
  </si>
  <si>
    <t>Hip-Hop</t>
  </si>
  <si>
    <t>Rock Classics</t>
  </si>
  <si>
    <t>Rock</t>
  </si>
  <si>
    <t>Viva Latino</t>
  </si>
  <si>
    <t>Latin</t>
  </si>
  <si>
    <t>Peaceful Piano</t>
  </si>
  <si>
    <t>Classical</t>
  </si>
  <si>
    <t>Bollywood Butter</t>
  </si>
  <si>
    <t>Bollywood</t>
  </si>
  <si>
    <t>Indie Chill</t>
  </si>
  <si>
    <t>Indie</t>
  </si>
  <si>
    <t>EDM Party</t>
  </si>
  <si>
    <t>Electronic</t>
  </si>
  <si>
    <t>Amazon Music</t>
  </si>
  <si>
    <t>Search Genre</t>
  </si>
  <si>
    <t>Result</t>
  </si>
  <si>
    <t>Jazz</t>
  </si>
  <si>
    <t>Booking ID</t>
  </si>
  <si>
    <t>Passenger Name</t>
  </si>
  <si>
    <t>Train Number</t>
  </si>
  <si>
    <t>Status</t>
  </si>
  <si>
    <t>IR001</t>
  </si>
  <si>
    <t>Rahul Patel</t>
  </si>
  <si>
    <t>Confirmed</t>
  </si>
  <si>
    <t>IR002</t>
  </si>
  <si>
    <t>Priya Shah</t>
  </si>
  <si>
    <t>Waiting</t>
  </si>
  <si>
    <t>IR003</t>
  </si>
  <si>
    <t>Amit Mehta</t>
  </si>
  <si>
    <t>IR004</t>
  </si>
  <si>
    <t>Neha Patel</t>
  </si>
  <si>
    <t>RAC</t>
  </si>
  <si>
    <t>IR005</t>
  </si>
  <si>
    <t>Rohan Shah</t>
  </si>
  <si>
    <t>IR006</t>
  </si>
  <si>
    <t>Sneha Mehta</t>
  </si>
  <si>
    <t>Cancelled</t>
  </si>
  <si>
    <t>IR007</t>
  </si>
  <si>
    <t>Karan Patel</t>
  </si>
  <si>
    <t>IR008</t>
  </si>
  <si>
    <t>Pooja Shah</t>
  </si>
  <si>
    <t>IR009</t>
  </si>
  <si>
    <t>Vivek Mehta</t>
  </si>
  <si>
    <t>IR010</t>
  </si>
  <si>
    <t>Anjali Patel</t>
  </si>
  <si>
    <t>IR012</t>
  </si>
  <si>
    <t>IR011</t>
  </si>
  <si>
    <t>Delivery Date</t>
  </si>
  <si>
    <t>MY001</t>
  </si>
  <si>
    <t>Nike Running Shoes</t>
  </si>
  <si>
    <t>13-09-2026</t>
  </si>
  <si>
    <t>MY002</t>
  </si>
  <si>
    <t>Levi's Jeans</t>
  </si>
  <si>
    <t>15-09-2026</t>
  </si>
  <si>
    <t>MY003</t>
  </si>
  <si>
    <t>Puma T-Shirt</t>
  </si>
  <si>
    <t>MY004</t>
  </si>
  <si>
    <t>Roadster Jacket</t>
  </si>
  <si>
    <t>17-09-2026</t>
  </si>
  <si>
    <t>MY005</t>
  </si>
  <si>
    <t>Adidas Sneakers</t>
  </si>
  <si>
    <t>14-09-2026</t>
  </si>
  <si>
    <t>18-09-2026</t>
  </si>
  <si>
    <t>MY006</t>
  </si>
  <si>
    <t>HRX Track Pants</t>
  </si>
  <si>
    <t>19-09-2026</t>
  </si>
  <si>
    <t>MY007</t>
  </si>
  <si>
    <t>Wrogn Shirt</t>
  </si>
  <si>
    <t>16-09-2026</t>
  </si>
  <si>
    <t>20-09-2026</t>
  </si>
  <si>
    <t>MY008</t>
  </si>
  <si>
    <t>Biba Kurti</t>
  </si>
  <si>
    <t>21-09-2026</t>
  </si>
  <si>
    <t>MY009</t>
  </si>
  <si>
    <t>Allen Solly Shirt</t>
  </si>
  <si>
    <t>22-09-2026</t>
  </si>
  <si>
    <t>MY010</t>
  </si>
  <si>
    <t>DressBerry Dress</t>
  </si>
  <si>
    <t>23-09-2026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</si>
</sst>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D4D5-6A80-4BC3-95BD-9DEFBC74507B}">
  <dimension ref="C2:I13"/>
  <sheetViews>
    <sheetView tabSelected="1" workbookViewId="0">
      <selection activeCell="H5" sqref="H5"/>
    </sheetView>
  </sheetViews>
  <sheetFormatPr defaultRowHeight="14.4" x14ac:dyDescent="0.3"/>
  <cols>
    <col min="3" max="3" width="9.88671875" bestFit="1" customWidth="1"/>
    <col min="4" max="4" width="20.6640625" bestFit="1" customWidth="1"/>
    <col min="5" max="5" width="11.109375" bestFit="1" customWidth="1"/>
    <col min="6" max="6" width="7.88671875" bestFit="1" customWidth="1"/>
    <col min="8" max="8" width="16.33203125" customWidth="1"/>
    <col min="9" max="9" width="20.6640625" bestFit="1" customWidth="1"/>
  </cols>
  <sheetData>
    <row r="2" spans="3:9" x14ac:dyDescent="0.3">
      <c r="H2" s="5" t="s">
        <v>34</v>
      </c>
      <c r="I2" s="5"/>
    </row>
    <row r="3" spans="3:9" x14ac:dyDescent="0.3">
      <c r="C3" s="4" t="s">
        <v>0</v>
      </c>
      <c r="D3" s="4" t="s">
        <v>1</v>
      </c>
      <c r="E3" s="4" t="s">
        <v>2</v>
      </c>
      <c r="F3" s="4" t="s">
        <v>3</v>
      </c>
      <c r="H3" s="4" t="s">
        <v>0</v>
      </c>
      <c r="I3" s="4" t="s">
        <v>1</v>
      </c>
    </row>
    <row r="4" spans="3:9" x14ac:dyDescent="0.3">
      <c r="C4" s="2" t="s">
        <v>4</v>
      </c>
      <c r="D4" s="2" t="s">
        <v>5</v>
      </c>
      <c r="E4" s="2" t="s">
        <v>6</v>
      </c>
      <c r="F4" s="3">
        <v>18999</v>
      </c>
      <c r="H4" s="2" t="s">
        <v>16</v>
      </c>
      <c r="I4" s="2" t="str" cm="1">
        <f t="array" ref="I4:I13">_xlfn.XLOOKUP(H4:H13,C4:C13,D4:D13,,0)</f>
        <v>JBL Tune 510BT</v>
      </c>
    </row>
    <row r="5" spans="3:9" x14ac:dyDescent="0.3">
      <c r="C5" s="2" t="s">
        <v>7</v>
      </c>
      <c r="D5" s="2" t="s">
        <v>8</v>
      </c>
      <c r="E5" s="2" t="s">
        <v>9</v>
      </c>
      <c r="F5" s="3">
        <v>1499</v>
      </c>
      <c r="H5" s="2" t="s">
        <v>7</v>
      </c>
      <c r="I5" s="2" t="str">
        <v>boAt Rockerz 450</v>
      </c>
    </row>
    <row r="6" spans="3:9" x14ac:dyDescent="0.3">
      <c r="C6" s="2" t="s">
        <v>10</v>
      </c>
      <c r="D6" s="2" t="s">
        <v>11</v>
      </c>
      <c r="E6" s="2" t="s">
        <v>12</v>
      </c>
      <c r="F6" s="3">
        <v>52990</v>
      </c>
      <c r="H6" s="2" t="s">
        <v>28</v>
      </c>
      <c r="I6" s="2" t="str">
        <v>Logitech K380 Keyboard</v>
      </c>
    </row>
    <row r="7" spans="3:9" x14ac:dyDescent="0.3">
      <c r="C7" s="2" t="s">
        <v>13</v>
      </c>
      <c r="D7" s="2" t="s">
        <v>14</v>
      </c>
      <c r="E7" s="2" t="s">
        <v>15</v>
      </c>
      <c r="F7" s="3">
        <v>3499</v>
      </c>
      <c r="H7" s="2" t="s">
        <v>4</v>
      </c>
      <c r="I7" s="2" t="str">
        <v>Samsung Galaxy M35</v>
      </c>
    </row>
    <row r="8" spans="3:9" x14ac:dyDescent="0.3">
      <c r="C8" s="2" t="s">
        <v>16</v>
      </c>
      <c r="D8" s="2" t="s">
        <v>17</v>
      </c>
      <c r="E8" s="2" t="s">
        <v>18</v>
      </c>
      <c r="F8" s="3">
        <v>2799</v>
      </c>
      <c r="H8" s="2" t="s">
        <v>31</v>
      </c>
      <c r="I8" s="2" t="str">
        <v>Mi LED Smart TV</v>
      </c>
    </row>
    <row r="9" spans="3:9" x14ac:dyDescent="0.3">
      <c r="C9" s="2" t="s">
        <v>19</v>
      </c>
      <c r="D9" s="2" t="s">
        <v>20</v>
      </c>
      <c r="E9" s="2" t="s">
        <v>21</v>
      </c>
      <c r="F9" s="3">
        <v>2499</v>
      </c>
      <c r="H9" s="2" t="s">
        <v>19</v>
      </c>
      <c r="I9" s="2" t="str">
        <v>Puma Running Shoes</v>
      </c>
    </row>
    <row r="10" spans="3:9" x14ac:dyDescent="0.3">
      <c r="C10" s="2" t="s">
        <v>22</v>
      </c>
      <c r="D10" s="2" t="s">
        <v>23</v>
      </c>
      <c r="E10" s="2" t="s">
        <v>24</v>
      </c>
      <c r="F10" s="3">
        <v>1899</v>
      </c>
      <c r="H10" s="2" t="s">
        <v>10</v>
      </c>
      <c r="I10" s="2" t="str">
        <v>HP 15s Laptop</v>
      </c>
    </row>
    <row r="11" spans="3:9" x14ac:dyDescent="0.3">
      <c r="C11" s="2" t="s">
        <v>25</v>
      </c>
      <c r="D11" s="2" t="s">
        <v>26</v>
      </c>
      <c r="E11" s="2" t="s">
        <v>27</v>
      </c>
      <c r="F11" s="3">
        <v>1299</v>
      </c>
      <c r="H11" s="2" t="s">
        <v>25</v>
      </c>
      <c r="I11" s="2" t="str">
        <v>Prestige Electric Kettle</v>
      </c>
    </row>
    <row r="12" spans="3:9" ht="28.8" x14ac:dyDescent="0.3">
      <c r="C12" s="2" t="s">
        <v>28</v>
      </c>
      <c r="D12" s="2" t="s">
        <v>29</v>
      </c>
      <c r="E12" s="2" t="s">
        <v>30</v>
      </c>
      <c r="F12" s="3">
        <v>2695</v>
      </c>
      <c r="H12" s="2" t="s">
        <v>13</v>
      </c>
      <c r="I12" s="2" t="str">
        <v>Noise ColorFit Pro</v>
      </c>
    </row>
    <row r="13" spans="3:9" x14ac:dyDescent="0.3">
      <c r="C13" s="2" t="s">
        <v>31</v>
      </c>
      <c r="D13" s="2" t="s">
        <v>32</v>
      </c>
      <c r="E13" s="2" t="s">
        <v>33</v>
      </c>
      <c r="F13" s="3">
        <v>32999</v>
      </c>
      <c r="H13" s="2" t="s">
        <v>22</v>
      </c>
      <c r="I13" s="2" t="str">
        <v>Wildcraft Backpack</v>
      </c>
    </row>
  </sheetData>
  <mergeCells count="1">
    <mergeCell ref="H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DEFF-1006-49C2-8C96-ACAFF9571C57}">
  <dimension ref="C3:I13"/>
  <sheetViews>
    <sheetView workbookViewId="0">
      <selection activeCell="I4" sqref="I4"/>
    </sheetView>
  </sheetViews>
  <sheetFormatPr defaultRowHeight="14.4" x14ac:dyDescent="0.3"/>
  <cols>
    <col min="3" max="3" width="8" bestFit="1" customWidth="1"/>
    <col min="4" max="4" width="15.6640625" bestFit="1" customWidth="1"/>
    <col min="5" max="5" width="10.109375" bestFit="1" customWidth="1"/>
    <col min="6" max="6" width="10.6640625" bestFit="1" customWidth="1"/>
    <col min="8" max="8" width="15.44140625" bestFit="1" customWidth="1"/>
  </cols>
  <sheetData>
    <row r="3" spans="3:9" x14ac:dyDescent="0.3">
      <c r="C3" s="4" t="s">
        <v>35</v>
      </c>
      <c r="D3" s="4" t="s">
        <v>36</v>
      </c>
      <c r="E3" s="4" t="s">
        <v>37</v>
      </c>
      <c r="F3" s="4" t="s">
        <v>38</v>
      </c>
      <c r="H3" s="4" t="s">
        <v>53</v>
      </c>
      <c r="I3" s="4" t="s">
        <v>54</v>
      </c>
    </row>
    <row r="4" spans="3:9" x14ac:dyDescent="0.3">
      <c r="C4" s="2" t="s">
        <v>39</v>
      </c>
      <c r="D4" s="2" t="s">
        <v>40</v>
      </c>
      <c r="E4" s="6">
        <v>46031</v>
      </c>
      <c r="F4" s="2">
        <v>650</v>
      </c>
      <c r="H4" s="2" t="s">
        <v>40</v>
      </c>
      <c r="I4" s="7">
        <f>_xlfn.XLOOKUP(H4,D4:D13,F4:F13,"Restaurant not found",0,-1)</f>
        <v>790</v>
      </c>
    </row>
    <row r="5" spans="3:9" x14ac:dyDescent="0.3">
      <c r="C5" s="2" t="s">
        <v>41</v>
      </c>
      <c r="D5" s="2" t="s">
        <v>42</v>
      </c>
      <c r="E5" s="6">
        <v>46062</v>
      </c>
      <c r="F5" s="2">
        <v>850</v>
      </c>
    </row>
    <row r="6" spans="3:9" x14ac:dyDescent="0.3">
      <c r="C6" s="2" t="s">
        <v>43</v>
      </c>
      <c r="D6" s="2" t="s">
        <v>44</v>
      </c>
      <c r="E6" s="6">
        <v>46090</v>
      </c>
      <c r="F6" s="2">
        <v>450</v>
      </c>
    </row>
    <row r="7" spans="3:9" x14ac:dyDescent="0.3">
      <c r="C7" s="2" t="s">
        <v>45</v>
      </c>
      <c r="D7" s="2" t="s">
        <v>40</v>
      </c>
      <c r="E7" s="6">
        <v>46121</v>
      </c>
      <c r="F7" s="2">
        <v>720</v>
      </c>
    </row>
    <row r="8" spans="3:9" x14ac:dyDescent="0.3">
      <c r="C8" s="2" t="s">
        <v>46</v>
      </c>
      <c r="D8" s="2" t="s">
        <v>47</v>
      </c>
      <c r="E8" s="6">
        <v>46151</v>
      </c>
      <c r="F8" s="2">
        <v>550</v>
      </c>
    </row>
    <row r="9" spans="3:9" x14ac:dyDescent="0.3">
      <c r="C9" s="2" t="s">
        <v>48</v>
      </c>
      <c r="D9" s="2" t="s">
        <v>42</v>
      </c>
      <c r="E9" s="6">
        <v>46182</v>
      </c>
      <c r="F9" s="2">
        <v>920</v>
      </c>
    </row>
    <row r="10" spans="3:9" x14ac:dyDescent="0.3">
      <c r="C10" s="2" t="s">
        <v>49</v>
      </c>
      <c r="D10" s="2" t="s">
        <v>40</v>
      </c>
      <c r="E10" s="6">
        <v>46212</v>
      </c>
      <c r="F10" s="2">
        <v>680</v>
      </c>
    </row>
    <row r="11" spans="3:9" x14ac:dyDescent="0.3">
      <c r="C11" s="2" t="s">
        <v>50</v>
      </c>
      <c r="D11" s="2" t="s">
        <v>44</v>
      </c>
      <c r="E11" s="6">
        <v>46243</v>
      </c>
      <c r="F11" s="2">
        <v>520</v>
      </c>
    </row>
    <row r="12" spans="3:9" x14ac:dyDescent="0.3">
      <c r="C12" s="2" t="s">
        <v>51</v>
      </c>
      <c r="D12" s="2" t="s">
        <v>47</v>
      </c>
      <c r="E12" s="6">
        <v>46274</v>
      </c>
      <c r="F12" s="2">
        <v>610</v>
      </c>
    </row>
    <row r="13" spans="3:9" x14ac:dyDescent="0.3">
      <c r="C13" s="2" t="s">
        <v>52</v>
      </c>
      <c r="D13" s="2" t="s">
        <v>40</v>
      </c>
      <c r="E13" s="6">
        <v>46304</v>
      </c>
      <c r="F13" s="2">
        <v>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ECDF-7BD4-4F1B-83E0-1D94986010D0}">
  <dimension ref="C3:I11"/>
  <sheetViews>
    <sheetView workbookViewId="0">
      <selection activeCell="I4" sqref="I4"/>
    </sheetView>
  </sheetViews>
  <sheetFormatPr defaultRowHeight="14.4" x14ac:dyDescent="0.3"/>
  <cols>
    <col min="3" max="3" width="15.33203125" bestFit="1" customWidth="1"/>
    <col min="4" max="4" width="9.6640625" bestFit="1" customWidth="1"/>
    <col min="5" max="5" width="12.77734375" bestFit="1" customWidth="1"/>
    <col min="6" max="6" width="15.6640625" bestFit="1" customWidth="1"/>
    <col min="8" max="8" width="12.109375" bestFit="1" customWidth="1"/>
    <col min="9" max="9" width="17.88671875" bestFit="1" customWidth="1"/>
  </cols>
  <sheetData>
    <row r="3" spans="3:9" x14ac:dyDescent="0.3">
      <c r="C3" s="4" t="s">
        <v>55</v>
      </c>
      <c r="D3" s="4" t="s">
        <v>56</v>
      </c>
      <c r="E3" s="4" t="s">
        <v>57</v>
      </c>
      <c r="F3" s="4" t="s">
        <v>58</v>
      </c>
      <c r="H3" s="4" t="s">
        <v>77</v>
      </c>
      <c r="I3" s="4" t="s">
        <v>78</v>
      </c>
    </row>
    <row r="4" spans="3:9" x14ac:dyDescent="0.3">
      <c r="C4" s="2" t="s">
        <v>59</v>
      </c>
      <c r="D4" s="2" t="s">
        <v>60</v>
      </c>
      <c r="E4" s="2" t="s">
        <v>61</v>
      </c>
      <c r="F4" s="2">
        <v>50</v>
      </c>
      <c r="H4" s="2" t="s">
        <v>60</v>
      </c>
      <c r="I4" s="2" t="str" cm="1">
        <f t="array" ref="I4:I9">_xlfn.XLOOKUP(H4:H9,D4:D11,C4:C11,"No playlist available",0)</f>
        <v>Today's Top Hits</v>
      </c>
    </row>
    <row r="5" spans="3:9" x14ac:dyDescent="0.3">
      <c r="C5" s="2" t="s">
        <v>62</v>
      </c>
      <c r="D5" s="2" t="s">
        <v>63</v>
      </c>
      <c r="E5" s="2" t="s">
        <v>61</v>
      </c>
      <c r="F5" s="2">
        <v>45</v>
      </c>
      <c r="H5" s="2" t="s">
        <v>63</v>
      </c>
      <c r="I5" s="2" t="str">
        <v>RapCaviar</v>
      </c>
    </row>
    <row r="6" spans="3:9" x14ac:dyDescent="0.3">
      <c r="C6" s="2" t="s">
        <v>64</v>
      </c>
      <c r="D6" s="2" t="s">
        <v>65</v>
      </c>
      <c r="E6" s="2" t="s">
        <v>61</v>
      </c>
      <c r="F6" s="2">
        <v>60</v>
      </c>
      <c r="H6" s="2" t="s">
        <v>65</v>
      </c>
      <c r="I6" s="2" t="str">
        <v>Rock Classics</v>
      </c>
    </row>
    <row r="7" spans="3:9" x14ac:dyDescent="0.3">
      <c r="C7" s="2" t="s">
        <v>66</v>
      </c>
      <c r="D7" s="2" t="s">
        <v>67</v>
      </c>
      <c r="E7" s="2" t="s">
        <v>61</v>
      </c>
      <c r="F7" s="2">
        <v>55</v>
      </c>
      <c r="H7" s="2" t="s">
        <v>71</v>
      </c>
      <c r="I7" s="2" t="str">
        <v>Bollywood Butter</v>
      </c>
    </row>
    <row r="8" spans="3:9" x14ac:dyDescent="0.3">
      <c r="C8" s="2" t="s">
        <v>68</v>
      </c>
      <c r="D8" s="2" t="s">
        <v>69</v>
      </c>
      <c r="E8" s="2" t="s">
        <v>61</v>
      </c>
      <c r="F8" s="2">
        <v>40</v>
      </c>
      <c r="H8" s="2" t="s">
        <v>73</v>
      </c>
      <c r="I8" s="2" t="str">
        <v>Indie Chill</v>
      </c>
    </row>
    <row r="9" spans="3:9" x14ac:dyDescent="0.3">
      <c r="C9" s="2" t="s">
        <v>70</v>
      </c>
      <c r="D9" s="2" t="s">
        <v>71</v>
      </c>
      <c r="E9" s="2" t="s">
        <v>61</v>
      </c>
      <c r="F9" s="2">
        <v>48</v>
      </c>
      <c r="H9" s="2" t="s">
        <v>79</v>
      </c>
      <c r="I9" s="1" t="str">
        <v>No playlist available</v>
      </c>
    </row>
    <row r="10" spans="3:9" x14ac:dyDescent="0.3">
      <c r="C10" s="2" t="s">
        <v>72</v>
      </c>
      <c r="D10" s="2" t="s">
        <v>73</v>
      </c>
      <c r="E10" s="2" t="s">
        <v>76</v>
      </c>
      <c r="F10" s="2">
        <v>35</v>
      </c>
    </row>
    <row r="11" spans="3:9" x14ac:dyDescent="0.3">
      <c r="C11" s="2" t="s">
        <v>74</v>
      </c>
      <c r="D11" s="2" t="s">
        <v>75</v>
      </c>
      <c r="E11" s="2" t="s">
        <v>76</v>
      </c>
      <c r="F11" s="2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4D40-6959-49B0-BB86-1FEA007A9689}">
  <dimension ref="C3:I13"/>
  <sheetViews>
    <sheetView workbookViewId="0">
      <selection activeCell="J11" sqref="J11"/>
    </sheetView>
  </sheetViews>
  <sheetFormatPr defaultRowHeight="14.4" x14ac:dyDescent="0.3"/>
  <cols>
    <col min="3" max="3" width="10.109375" bestFit="1" customWidth="1"/>
    <col min="4" max="4" width="15" bestFit="1" customWidth="1"/>
    <col min="5" max="5" width="12.5546875" bestFit="1" customWidth="1"/>
    <col min="6" max="6" width="9.5546875" bestFit="1" customWidth="1"/>
    <col min="8" max="8" width="10.109375" bestFit="1" customWidth="1"/>
    <col min="9" max="9" width="16.6640625" bestFit="1" customWidth="1"/>
  </cols>
  <sheetData>
    <row r="3" spans="3:9" x14ac:dyDescent="0.3">
      <c r="C3" s="4" t="s">
        <v>80</v>
      </c>
      <c r="D3" s="4" t="s">
        <v>81</v>
      </c>
      <c r="E3" s="4" t="s">
        <v>82</v>
      </c>
      <c r="F3" s="4" t="s">
        <v>83</v>
      </c>
      <c r="H3" s="4" t="s">
        <v>80</v>
      </c>
      <c r="I3" s="4" t="s">
        <v>83</v>
      </c>
    </row>
    <row r="4" spans="3:9" x14ac:dyDescent="0.3">
      <c r="C4" s="2" t="s">
        <v>84</v>
      </c>
      <c r="D4" s="2" t="s">
        <v>85</v>
      </c>
      <c r="E4" s="2">
        <v>12901</v>
      </c>
      <c r="F4" s="2" t="s">
        <v>86</v>
      </c>
      <c r="H4" s="2" t="s">
        <v>84</v>
      </c>
      <c r="I4" s="8" t="str" cm="1">
        <f t="array" ref="I4:I13">_xlfn.XLOOKUP(H4:H13,C4:C13,F4:F13,"Booking Not Found",0)</f>
        <v>Confirmed</v>
      </c>
    </row>
    <row r="5" spans="3:9" x14ac:dyDescent="0.3">
      <c r="C5" s="2" t="s">
        <v>87</v>
      </c>
      <c r="D5" s="2" t="s">
        <v>88</v>
      </c>
      <c r="E5" s="2">
        <v>12902</v>
      </c>
      <c r="F5" s="2" t="s">
        <v>89</v>
      </c>
      <c r="H5" s="2" t="s">
        <v>87</v>
      </c>
      <c r="I5" s="8" t="str">
        <v>Waiting</v>
      </c>
    </row>
    <row r="6" spans="3:9" x14ac:dyDescent="0.3">
      <c r="C6" s="2" t="s">
        <v>90</v>
      </c>
      <c r="D6" s="2" t="s">
        <v>91</v>
      </c>
      <c r="E6" s="2">
        <v>12903</v>
      </c>
      <c r="F6" s="2" t="s">
        <v>86</v>
      </c>
      <c r="H6" s="2" t="s">
        <v>90</v>
      </c>
      <c r="I6" s="8" t="str">
        <v>Confirmed</v>
      </c>
    </row>
    <row r="7" spans="3:9" x14ac:dyDescent="0.3">
      <c r="C7" s="2" t="s">
        <v>92</v>
      </c>
      <c r="D7" s="2" t="s">
        <v>93</v>
      </c>
      <c r="E7" s="2">
        <v>12904</v>
      </c>
      <c r="F7" s="2" t="s">
        <v>94</v>
      </c>
      <c r="H7" s="2" t="s">
        <v>92</v>
      </c>
      <c r="I7" s="8" t="str">
        <v>RAC</v>
      </c>
    </row>
    <row r="8" spans="3:9" x14ac:dyDescent="0.3">
      <c r="C8" s="2" t="s">
        <v>95</v>
      </c>
      <c r="D8" s="2" t="s">
        <v>96</v>
      </c>
      <c r="E8" s="2">
        <v>12905</v>
      </c>
      <c r="F8" s="2" t="s">
        <v>86</v>
      </c>
      <c r="H8" s="2" t="s">
        <v>108</v>
      </c>
      <c r="I8" s="9" t="str">
        <v>Booking Not Found</v>
      </c>
    </row>
    <row r="9" spans="3:9" x14ac:dyDescent="0.3">
      <c r="C9" s="2" t="s">
        <v>97</v>
      </c>
      <c r="D9" s="2" t="s">
        <v>98</v>
      </c>
      <c r="E9" s="2">
        <v>12906</v>
      </c>
      <c r="F9" s="2" t="s">
        <v>99</v>
      </c>
      <c r="H9" s="2" t="s">
        <v>97</v>
      </c>
      <c r="I9" s="8" t="str">
        <v>Cancelled</v>
      </c>
    </row>
    <row r="10" spans="3:9" x14ac:dyDescent="0.3">
      <c r="C10" s="2" t="s">
        <v>100</v>
      </c>
      <c r="D10" s="2" t="s">
        <v>101</v>
      </c>
      <c r="E10" s="2">
        <v>12907</v>
      </c>
      <c r="F10" s="2" t="s">
        <v>89</v>
      </c>
      <c r="H10" s="2" t="s">
        <v>100</v>
      </c>
      <c r="I10" s="8" t="str">
        <v>Waiting</v>
      </c>
    </row>
    <row r="11" spans="3:9" x14ac:dyDescent="0.3">
      <c r="C11" s="2" t="s">
        <v>102</v>
      </c>
      <c r="D11" s="2" t="s">
        <v>103</v>
      </c>
      <c r="E11" s="2">
        <v>12908</v>
      </c>
      <c r="F11" s="2" t="s">
        <v>86</v>
      </c>
      <c r="H11" s="2" t="s">
        <v>109</v>
      </c>
      <c r="I11" s="9" t="str">
        <v>Booking Not Found</v>
      </c>
    </row>
    <row r="12" spans="3:9" x14ac:dyDescent="0.3">
      <c r="C12" s="2" t="s">
        <v>104</v>
      </c>
      <c r="D12" s="2" t="s">
        <v>105</v>
      </c>
      <c r="E12" s="2">
        <v>12909</v>
      </c>
      <c r="F12" s="2" t="s">
        <v>94</v>
      </c>
      <c r="H12" s="2" t="s">
        <v>104</v>
      </c>
      <c r="I12" s="8" t="str">
        <v>RAC</v>
      </c>
    </row>
    <row r="13" spans="3:9" x14ac:dyDescent="0.3">
      <c r="C13" s="2" t="s">
        <v>106</v>
      </c>
      <c r="D13" s="2" t="s">
        <v>107</v>
      </c>
      <c r="E13" s="2">
        <v>12910</v>
      </c>
      <c r="F13" s="2" t="s">
        <v>86</v>
      </c>
      <c r="H13" s="2" t="s">
        <v>106</v>
      </c>
      <c r="I13" s="8" t="str">
        <v>Confirmed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1441-9C0C-47D1-BAFD-E10E1890C279}">
  <dimension ref="A1:G11"/>
  <sheetViews>
    <sheetView workbookViewId="0">
      <selection activeCell="F5" sqref="F5"/>
    </sheetView>
  </sheetViews>
  <sheetFormatPr defaultRowHeight="14.4" x14ac:dyDescent="0.3"/>
  <cols>
    <col min="1" max="1" width="8" bestFit="1" customWidth="1"/>
    <col min="2" max="2" width="16.88671875" bestFit="1" customWidth="1"/>
    <col min="3" max="3" width="10.33203125" bestFit="1" customWidth="1"/>
    <col min="4" max="4" width="12.109375" bestFit="1" customWidth="1"/>
    <col min="6" max="6" width="15" customWidth="1"/>
    <col min="7" max="7" width="11.88671875" customWidth="1"/>
  </cols>
  <sheetData>
    <row r="1" spans="1:7" x14ac:dyDescent="0.3">
      <c r="A1" s="4" t="s">
        <v>35</v>
      </c>
      <c r="B1" s="4" t="s">
        <v>1</v>
      </c>
      <c r="C1" s="4" t="s">
        <v>37</v>
      </c>
      <c r="D1" s="4" t="s">
        <v>110</v>
      </c>
      <c r="F1" s="1" t="s">
        <v>35</v>
      </c>
      <c r="G1" s="2" t="s">
        <v>136</v>
      </c>
    </row>
    <row r="2" spans="1:7" x14ac:dyDescent="0.3">
      <c r="A2" s="2" t="s">
        <v>111</v>
      </c>
      <c r="B2" s="2" t="s">
        <v>112</v>
      </c>
      <c r="C2" s="6">
        <v>46304</v>
      </c>
      <c r="D2" s="2" t="s">
        <v>113</v>
      </c>
      <c r="F2" s="1" t="s">
        <v>110</v>
      </c>
      <c r="G2" s="2" t="str">
        <f>_xlfn.XLOOKUP(G1,A2:A11,D2:D11,"Order Not Found")</f>
        <v>22-09-2026</v>
      </c>
    </row>
    <row r="3" spans="1:7" x14ac:dyDescent="0.3">
      <c r="A3" s="2" t="s">
        <v>114</v>
      </c>
      <c r="B3" s="2" t="s">
        <v>115</v>
      </c>
      <c r="C3" s="6">
        <v>46335</v>
      </c>
      <c r="D3" s="2" t="s">
        <v>116</v>
      </c>
    </row>
    <row r="4" spans="1:7" x14ac:dyDescent="0.3">
      <c r="A4" s="2" t="s">
        <v>117</v>
      </c>
      <c r="B4" s="2" t="s">
        <v>118</v>
      </c>
      <c r="C4" s="6">
        <v>46365</v>
      </c>
      <c r="D4" s="2" t="s">
        <v>116</v>
      </c>
    </row>
    <row r="5" spans="1:7" x14ac:dyDescent="0.3">
      <c r="A5" s="2" t="s">
        <v>119</v>
      </c>
      <c r="B5" s="2" t="s">
        <v>120</v>
      </c>
      <c r="C5" s="2" t="s">
        <v>113</v>
      </c>
      <c r="D5" s="2" t="s">
        <v>121</v>
      </c>
    </row>
    <row r="6" spans="1:7" x14ac:dyDescent="0.3">
      <c r="A6" s="2" t="s">
        <v>122</v>
      </c>
      <c r="B6" s="2" t="s">
        <v>123</v>
      </c>
      <c r="C6" s="2" t="s">
        <v>124</v>
      </c>
      <c r="D6" s="2" t="s">
        <v>125</v>
      </c>
    </row>
    <row r="7" spans="1:7" x14ac:dyDescent="0.3">
      <c r="A7" s="2" t="s">
        <v>126</v>
      </c>
      <c r="B7" s="2" t="s">
        <v>127</v>
      </c>
      <c r="C7" s="2" t="s">
        <v>116</v>
      </c>
      <c r="D7" s="2" t="s">
        <v>128</v>
      </c>
    </row>
    <row r="8" spans="1:7" x14ac:dyDescent="0.3">
      <c r="A8" s="2" t="s">
        <v>129</v>
      </c>
      <c r="B8" s="2" t="s">
        <v>130</v>
      </c>
      <c r="C8" s="2" t="s">
        <v>131</v>
      </c>
      <c r="D8" s="2" t="s">
        <v>132</v>
      </c>
    </row>
    <row r="9" spans="1:7" x14ac:dyDescent="0.3">
      <c r="A9" s="2" t="s">
        <v>133</v>
      </c>
      <c r="B9" s="2" t="s">
        <v>134</v>
      </c>
      <c r="C9" s="2" t="s">
        <v>121</v>
      </c>
      <c r="D9" s="2" t="s">
        <v>135</v>
      </c>
    </row>
    <row r="10" spans="1:7" x14ac:dyDescent="0.3">
      <c r="A10" s="2" t="s">
        <v>136</v>
      </c>
      <c r="B10" s="2" t="s">
        <v>137</v>
      </c>
      <c r="C10" s="2" t="s">
        <v>125</v>
      </c>
      <c r="D10" s="2" t="s">
        <v>138</v>
      </c>
    </row>
    <row r="11" spans="1:7" x14ac:dyDescent="0.3">
      <c r="A11" s="2" t="s">
        <v>139</v>
      </c>
      <c r="B11" s="2" t="s">
        <v>140</v>
      </c>
      <c r="C11" s="2" t="s">
        <v>128</v>
      </c>
      <c r="D11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Tasks_01</vt:lpstr>
      <vt:lpstr>Tasks_02</vt:lpstr>
      <vt:lpstr>Tasks_03</vt:lpstr>
      <vt:lpstr>Tasks_04</vt:lpstr>
      <vt:lpstr>Tasks_05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2026-09-21T13:56:00Z</dcterms:created>
  <dcterms:modified xsi:type="dcterms:W3CDTF">2026-09-21T15:14:12Z</dcterms:modified>
</cp:coreProperties>
</file>