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A:\Data Analytics\Excel\Assign &amp; Asses\ASSESSMENT\SECTION_B_ASSESSMENT\"/>
    </mc:Choice>
  </mc:AlternateContent>
  <xr:revisionPtr revIDLastSave="0" documentId="13_ncr:1_{E8CAE2C5-DF9C-4FED-B0DB-2C6EE3244D6C}" xr6:coauthVersionLast="47" xr6:coauthVersionMax="47" xr10:uidLastSave="{00000000-0000-0000-0000-000000000000}"/>
  <bookViews>
    <workbookView xWindow="-108" yWindow="-108" windowWidth="23256" windowHeight="12576" tabRatio="642" activeTab="5" xr2:uid="{444A9A0F-4813-406E-A0A8-CDA796C9500C}"/>
  </bookViews>
  <sheets>
    <sheet name="Orders Sheet" sheetId="1" r:id="rId1"/>
    <sheet name="Restaurants" sheetId="2" r:id="rId2"/>
    <sheet name="Zone Stats" sheetId="3" r:id="rId3"/>
    <sheet name="RevenuebyCuisine&amp;Zone" sheetId="5" r:id="rId4"/>
    <sheet name="Order Count by Month " sheetId="6" r:id="rId5"/>
    <sheet name="DASHBOARD" sheetId="4" r:id="rId6"/>
  </sheets>
  <definedNames>
    <definedName name="NativeTimeline_OrderDate">#N/A</definedName>
    <definedName name="Slicer_Zone">#N/A</definedName>
  </definedNames>
  <calcPr calcId="191029"/>
  <pivotCaches>
    <pivotCache cacheId="1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G2" i="3" a="1"/>
  <c r="G2" i="3" s="1"/>
  <c r="G3" i="3" a="1"/>
  <c r="G3" i="3" s="1"/>
  <c r="G4" i="3" a="1"/>
  <c r="G4" i="3" s="1"/>
  <c r="G5" i="3" a="1"/>
  <c r="G5" i="3" s="1"/>
  <c r="G6" i="3" a="1"/>
  <c r="G6" i="3" s="1"/>
  <c r="F2" i="3" a="1"/>
  <c r="F2" i="3" s="1"/>
  <c r="F3" i="3" a="1"/>
  <c r="F3" i="3" s="1"/>
  <c r="F4" i="3" a="1"/>
  <c r="F4" i="3" s="1"/>
  <c r="F5" i="3" a="1"/>
  <c r="F5" i="3" s="1"/>
  <c r="F6" i="3" a="1"/>
  <c r="F6" i="3" s="1"/>
  <c r="E2" i="3"/>
  <c r="E3" i="3"/>
  <c r="E4" i="3"/>
  <c r="E5" i="3"/>
  <c r="E6" i="3"/>
  <c r="D2" i="3" a="1"/>
  <c r="D2" i="3" s="1"/>
  <c r="D3" i="3" a="1"/>
  <c r="D3" i="3" s="1"/>
  <c r="D4" i="3" a="1"/>
  <c r="D4" i="3" s="1"/>
  <c r="D5" i="3" a="1"/>
  <c r="D5" i="3" s="1"/>
  <c r="D6" i="3" a="1"/>
  <c r="D6" i="3" s="1"/>
  <c r="C2" i="3" a="1"/>
  <c r="C2" i="3" s="1"/>
  <c r="C3" i="3" a="1"/>
  <c r="C3" i="3" s="1"/>
  <c r="C4" i="3" a="1"/>
  <c r="C4" i="3" s="1"/>
  <c r="C5" i="3" a="1"/>
  <c r="C5" i="3" s="1"/>
  <c r="C6" i="3" a="1"/>
  <c r="C6" i="3" s="1"/>
  <c r="B2" i="3"/>
  <c r="H2" i="3" s="1"/>
  <c r="B3" i="3"/>
  <c r="H3" i="3" s="1"/>
  <c r="B4" i="3"/>
  <c r="H4" i="3" s="1"/>
  <c r="B5" i="3"/>
  <c r="H5" i="3" s="1"/>
  <c r="B6" i="3"/>
  <c r="H6" i="3" s="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4" i="4"/>
  <c r="F4" i="4"/>
  <c r="A4"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<sst xmlns="http://schemas.openxmlformats.org/spreadsheetml/2006/main" count="627" uniqueCount="172">
  <si>
    <t>OrderID</t>
  </si>
  <si>
    <t>RestaurantID</t>
  </si>
  <si>
    <t>Cuisine</t>
  </si>
  <si>
    <t>Zone</t>
  </si>
  <si>
    <t>OrderDate</t>
  </si>
  <si>
    <t>DeliveryTime</t>
  </si>
  <si>
    <t>Rating</t>
  </si>
  <si>
    <t>Revenue</t>
  </si>
  <si>
    <t>Status</t>
  </si>
  <si>
    <t>ORD001</t>
  </si>
  <si>
    <t>R001</t>
  </si>
  <si>
    <t>Indian</t>
  </si>
  <si>
    <t>West</t>
  </si>
  <si>
    <t>Delayed</t>
  </si>
  <si>
    <t>ORD002</t>
  </si>
  <si>
    <t>R002</t>
  </si>
  <si>
    <t>Central</t>
  </si>
  <si>
    <t>Delivered</t>
  </si>
  <si>
    <t>ORD003</t>
  </si>
  <si>
    <t>R003</t>
  </si>
  <si>
    <t>North</t>
  </si>
  <si>
    <t>ORD004</t>
  </si>
  <si>
    <t>R004</t>
  </si>
  <si>
    <t>Chinese</t>
  </si>
  <si>
    <t>East</t>
  </si>
  <si>
    <t>ORD005</t>
  </si>
  <si>
    <t>R005</t>
  </si>
  <si>
    <t>South</t>
  </si>
  <si>
    <t>ORD006</t>
  </si>
  <si>
    <t>R006</t>
  </si>
  <si>
    <t>ORD007</t>
  </si>
  <si>
    <t>R007</t>
  </si>
  <si>
    <t>Italian</t>
  </si>
  <si>
    <t>ORD008</t>
  </si>
  <si>
    <t>R008</t>
  </si>
  <si>
    <t>ORD009</t>
  </si>
  <si>
    <t>R009</t>
  </si>
  <si>
    <t>ORD010</t>
  </si>
  <si>
    <t>R010</t>
  </si>
  <si>
    <t>Mexican</t>
  </si>
  <si>
    <t>ORD011</t>
  </si>
  <si>
    <t>R011</t>
  </si>
  <si>
    <t>ORD012</t>
  </si>
  <si>
    <t>R012</t>
  </si>
  <si>
    <t>ORD013</t>
  </si>
  <si>
    <t>R013</t>
  </si>
  <si>
    <t>ORD014</t>
  </si>
  <si>
    <t>R014</t>
  </si>
  <si>
    <t>ORD015</t>
  </si>
  <si>
    <t>R015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</si>
  <si>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</si>
  <si>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</si>
  <si>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</si>
  <si>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</si>
  <si>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</si>
  <si>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</si>
  <si>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</si>
  <si>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</si>
  <si>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</si>
  <si>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</si>
  <si>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</si>
  <si>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</si>
  <si>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</si>
  <si>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</si>
  <si>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</si>
  <si>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</si>
  <si>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</si>
  <si>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</si>
  <si>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</si>
  <si>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</si>
  <si>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</si>
  <si>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</si>
  <si>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</si>
  <si>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</si>
  <si>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</si>
  <si>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</si>
  <si>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</si>
  <si>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</si>
  <si>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</si>
  <si>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</si>
  <si>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</si>
  <si>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</si>
  <si>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</si>
  <si>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</si>
  <si>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</si>
  <si>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</si>
  <si>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</si>
  <si>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</si>
  <si>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</si>
  <si>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</si>
  <si>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</si>
  <si>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</si>
  <si>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</si>
  <si>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</si>
  <si>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</si>
  <si>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</si>
  <si>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</si>
  <si>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</si>
  <si>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</si>
  <si>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</si>
  <si>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</si>
  <si>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</si>
  <si>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</si>
  <si>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</si>
  <si>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</si>
  <si>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</si>
  <si>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</si>
  <si>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</si>
  <si>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</si>
  <si>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</si>
  <si>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</si>
  <si>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</si>
  <si>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</si>
  <si>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</si>
  <si>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</si>
  <si>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</si>
  <si>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</si>
  <si>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</si>
  <si>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</si>
  <si>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</si>
  <si>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</si>
  <si>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</si>
  <si>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</si>
  <si>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</si>
  <si>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</si>
  <si>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</si>
  <si>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</si>
  <si>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</si>
  <si>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</si>
  <si>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</si>
  <si>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</si>
  <si>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</si>
  <si>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</si>
  <si>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</si>
  <si>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</si>
  <si>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RestaurantName</t>
  </si>
  <si>
    <t>Category</t>
  </si>
  <si>
    <t>Spice Villa</t>
  </si>
  <si>
    <t>Tandoori Tales</t>
  </si>
  <si>
    <t>Curry Corner</t>
  </si>
  <si>
    <t>Urban Wok</t>
  </si>
  <si>
    <t>Dragon Bowl</t>
  </si>
  <si>
    <t>Golden Wok</t>
  </si>
  <si>
    <t>Pasta Palace</t>
  </si>
  <si>
    <t>Roma Kitchen</t>
  </si>
  <si>
    <t>Bella Italia</t>
  </si>
  <si>
    <t>Mexican Fiesta</t>
  </si>
  <si>
    <t>Taco Town</t>
  </si>
  <si>
    <t>Casa Mexicana</t>
  </si>
  <si>
    <t>Masala House</t>
  </si>
  <si>
    <t>Wok Express</t>
  </si>
  <si>
    <t>Pasta Street</t>
  </si>
  <si>
    <t>Mean DeliveryTime</t>
  </si>
  <si>
    <t>Median DeliveryTime</t>
  </si>
  <si>
    <t>Std Dev DeliveryTime</t>
  </si>
  <si>
    <t>Mean Revenue</t>
  </si>
  <si>
    <t>Median Revenue</t>
  </si>
  <si>
    <t>Std Dev Revenue</t>
  </si>
  <si>
    <t>Delivery Flag</t>
  </si>
  <si>
    <t xml:space="preserve">FOOD DELIVERY OPERATIONS DASHBOARD </t>
  </si>
  <si>
    <t>Row Labels</t>
  </si>
  <si>
    <t>Grand Total</t>
  </si>
  <si>
    <t>Column Labels</t>
  </si>
  <si>
    <t>Sum of Revenue</t>
  </si>
  <si>
    <t>Jan</t>
  </si>
  <si>
    <t>Feb</t>
  </si>
  <si>
    <t>Mar</t>
  </si>
  <si>
    <t>Count of OrderID</t>
  </si>
  <si>
    <t>Qtr1</t>
  </si>
  <si>
    <t>Average of Rating</t>
  </si>
  <si>
    <t>Fast Delivery</t>
  </si>
  <si>
    <t>Sum of Fast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</si>
</sst>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20"/>
      <color theme="0" tint="-4.9989318521683403E-2"/>
      <name val="Calibri"/>
      <family val="2"/>
      <scheme val="minor"/>
    </font>
    <font>
      <b/>
      <sz val="22"/>
      <color theme="0"/>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1"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0" fillId="0" borderId="0" xfId="0"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5" fontId="0" fillId="0" borderId="1"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5" fontId="0" fillId="0" borderId="8" xfId="0" applyNumberFormat="1"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vertical="center"/>
    </xf>
    <xf numFmtId="0" fontId="3" fillId="2" borderId="0" xfId="0" applyFont="1" applyFill="1" applyAlignment="1">
      <alignment horizontal="center" vertical="center"/>
    </xf>
    <xf numFmtId="0" fontId="0" fillId="3" borderId="0" xfId="0" applyFill="1" applyAlignment="1">
      <alignment horizontal="center"/>
    </xf>
    <xf numFmtId="168" fontId="4" fillId="3" borderId="0" xfId="0" applyNumberFormat="1" applyFont="1" applyFill="1" applyAlignment="1">
      <alignment horizontal="center"/>
    </xf>
    <xf numFmtId="0" fontId="4" fillId="3" borderId="0" xfId="0" applyFont="1" applyFill="1" applyAlignment="1">
      <alignment horizontal="center"/>
    </xf>
    <xf numFmtId="9" fontId="4" fillId="3" borderId="0" xfId="1"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15" fontId="0" fillId="0" borderId="0" xfId="0" applyNumberFormat="1" applyAlignment="1">
      <alignment horizontal="left" indent="1"/>
    </xf>
    <xf numFmtId="168" fontId="0" fillId="0" borderId="0" xfId="0" applyNumberFormat="1"/>
    <xf numFmtId="0" fontId="0" fillId="0" borderId="0" xfId="0" applyNumberFormat="1" applyAlignment="1">
      <alignment horizontal="center" vertical="center"/>
    </xf>
  </cellXfs>
  <cellStyles count="2">
    <cellStyle name="Normal" xfId="0" builtinId="0"/>
    <cellStyle name="Percent" xfId="1" builtinId="5"/>
  </cellStyles>
  <dxfs count="125">
    <dxf>
      <alignment horizontal="center"/>
    </dxf>
    <dxf>
      <alignment horizontal="center"/>
    </dxf>
    <dxf>
      <alignment horizontal="center"/>
    </dxf>
    <dxf>
      <alignment vertical="center"/>
    </dxf>
    <dxf>
      <alignment vertical="center"/>
    </dxf>
    <dxf>
      <alignment vertical="center"/>
    </dxf>
    <dxf>
      <numFmt numFmtId="168" formatCode="0.0"/>
    </dxf>
    <dxf>
      <alignment horizontal="center"/>
    </dxf>
    <dxf>
      <alignment horizontal="center"/>
    </dxf>
    <dxf>
      <alignment horizontal="center"/>
    </dxf>
    <dxf>
      <alignment vertical="center"/>
    </dxf>
    <dxf>
      <alignment vertical="center"/>
    </dxf>
    <dxf>
      <alignment vertical="center"/>
    </dxf>
    <dxf>
      <numFmt numFmtId="168" formatCode="0.0"/>
    </dxf>
    <dxf>
      <alignment horizontal="center"/>
    </dxf>
    <dxf>
      <alignment horizontal="center"/>
    </dxf>
    <dxf>
      <alignment horizontal="center"/>
    </dxf>
    <dxf>
      <alignment vertical="center"/>
    </dxf>
    <dxf>
      <alignment vertical="center"/>
    </dxf>
    <dxf>
      <alignment vertical="center"/>
    </dxf>
    <dxf>
      <numFmt numFmtId="168" formatCode="0.0"/>
    </dxf>
    <dxf>
      <alignment horizontal="center"/>
    </dxf>
    <dxf>
      <alignment horizontal="center"/>
    </dxf>
    <dxf>
      <alignment horizontal="center"/>
    </dxf>
    <dxf>
      <alignment vertical="center"/>
    </dxf>
    <dxf>
      <alignment vertical="center"/>
    </dxf>
    <dxf>
      <alignment vertical="center"/>
    </dxf>
    <dxf>
      <numFmt numFmtId="168" formatCode="0.0"/>
    </dxf>
    <dxf>
      <alignment horizontal="center"/>
    </dxf>
    <dxf>
      <alignment horizontal="center"/>
    </dxf>
    <dxf>
      <alignment horizontal="center"/>
    </dxf>
    <dxf>
      <alignment vertical="center"/>
    </dxf>
    <dxf>
      <alignment vertical="center"/>
    </dxf>
    <dxf>
      <alignment vertical="center"/>
    </dxf>
    <dxf>
      <numFmt numFmtId="168" formatCode="0.0"/>
    </dxf>
    <dxf>
      <alignment horizontal="center"/>
    </dxf>
    <dxf>
      <alignment horizontal="center"/>
    </dxf>
    <dxf>
      <alignment horizontal="center"/>
    </dxf>
    <dxf>
      <alignment vertical="center"/>
    </dxf>
    <dxf>
      <alignment vertical="center"/>
    </dxf>
    <dxf>
      <alignment vertical="center"/>
    </dxf>
    <dxf>
      <numFmt numFmtId="168" formatCode="0.0"/>
    </dxf>
    <dxf>
      <alignment horizontal="center"/>
    </dxf>
    <dxf>
      <alignment horizontal="center"/>
    </dxf>
    <dxf>
      <alignment horizontal="center"/>
    </dxf>
    <dxf>
      <alignment vertical="center"/>
    </dxf>
    <dxf>
      <alignment vertical="center"/>
    </dxf>
    <dxf>
      <alignment vertical="center"/>
    </dxf>
    <dxf>
      <numFmt numFmtId="168" formatCode="0.0"/>
    </dxf>
    <dxf>
      <alignment horizontal="center"/>
    </dxf>
    <dxf>
      <alignment horizontal="center"/>
    </dxf>
    <dxf>
      <alignment horizontal="center"/>
    </dxf>
    <dxf>
      <alignment vertical="center"/>
    </dxf>
    <dxf>
      <alignment vertical="center"/>
    </dxf>
    <dxf>
      <alignment vertical="center"/>
    </dxf>
    <dxf>
      <numFmt numFmtId="168" formatCode="0.0"/>
    </dxf>
    <dxf>
      <alignment horizontal="center"/>
    </dxf>
    <dxf>
      <alignment horizontal="center"/>
    </dxf>
    <dxf>
      <alignment horizontal="center"/>
    </dxf>
    <dxf>
      <alignment vertical="center"/>
    </dxf>
    <dxf>
      <alignment vertical="center"/>
    </dxf>
    <dxf>
      <alignment vertical="center"/>
    </dxf>
    <dxf>
      <numFmt numFmtId="168" formatCode="0.0"/>
    </dxf>
    <dxf>
      <numFmt numFmtId="168" formatCode="0.0"/>
    </dxf>
    <dxf>
      <alignment horizontal="center"/>
    </dxf>
    <dxf>
      <alignment horizontal="center"/>
    </dxf>
    <dxf>
      <alignment horizontal="center"/>
    </dxf>
    <dxf>
      <alignment vertical="center"/>
    </dxf>
    <dxf>
      <alignment vertical="center"/>
    </dxf>
    <dxf>
      <alignment vertical="center"/>
    </dxf>
    <dxf>
      <numFmt numFmtId="168" formatCode="0.0"/>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168" formatCode="0.0"/>
    </dxf>
    <dxf>
      <font>
        <color rgb="FF9C0006"/>
      </font>
      <fill>
        <patternFill>
          <bgColor rgb="FFFFC7CE"/>
        </patternFill>
      </fill>
    </dxf>
    <dxf>
      <numFmt numFmtId="168" formatCode="0.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0" formatCode="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[TASKS_04.xlsx]RevenuebyCuisine&amp;Zone!PivotTable1</c:name>
    <c:fmtId val="2"/>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b="1" i="0" u="none" strike="noStrike" baseline="0">
                <a:effectLst>
                  <a:outerShdw blurRad="50800" dist="38100" dir="5400000" algn="t" rotWithShape="0">
                    <a:prstClr val="black">
                      <a:alpha val="40000"/>
                    </a:prstClr>
                  </a:outerShdw>
                </a:effectLst>
              </a:rPr>
              <a:t>Revenue by Cuisine × Zone</a:t>
            </a:r>
            <a:endParaRPr lang="en-US" sz="2400"/>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'RevenuebyCuisine&amp;Zone'!$B$3:$B$4</c:f>
              <c:strCache>
                <c:ptCount val="1"/>
                <c:pt idx="0">
                  <c:v>Central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'RevenuebyCuisine&amp;Zone'!$A$5:$A$9</c:f>
              <c:strCache>
                <c:ptCount val="4"/>
                <c:pt idx="0">
                  <c:v>Chinese</c:v>
                </c:pt>
                <c:pt idx="1">
                  <c:v>Indian</c:v>
                </c:pt>
                <c:pt idx="2">
                  <c:v>Italian</c:v>
                </c:pt>
                <c:pt idx="3">
                  <c:v>Mexican</c:v>
                </c:pt>
              </c:strCache>
            </c:strRef>
          </c:cat>
          <c:val>
            <c:numRef>
              <c:f>'RevenuebyCuisine&amp;Zone'!$B$5:$B$9</c:f>
              <c:numCache>
                <c:formatCode>General</c:formatCode>
                <c:ptCount val="4"/>
                <c:pt idx="1">
                  <c:v>12724</c:v>
                </c:pt>
                <c:pt idx="2">
                  <c:v>14389</c:v>
                </c:pt>
                <c:pt idx="3">
                  <c:v>11167</c:v>
                </c:pt>
              </c:numCache>
            </c:numRef>
          </c:val>
          <c:smooth val="0"/>
          <c:extLst>
            <c:ext xmlns:c16="http://schemas.microsoft.com/office/drawing/2014/chart" uri="{C3380CC4-5D6E-409C-BE32-E72D297353CC}">
              <c16:uniqueId val="{00000000-BF68-4256-9B09-11AF6064A855}"/>
            </c:ext>
          </c:extLst>
        </c:ser>
        <c:ser>
          <c:idx val="1"/>
          <c:order val="1"/>
          <c:tx>
            <c:strRef>
              <c:f>'RevenuebyCuisine&amp;Zone'!$C$3:$C$4</c:f>
              <c:strCache>
                <c:ptCount val="1"/>
                <c:pt idx="0">
                  <c:v>East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'RevenuebyCuisine&amp;Zone'!$A$5:$A$9</c:f>
              <c:strCache>
                <c:ptCount val="4"/>
                <c:pt idx="0">
                  <c:v>Chinese</c:v>
                </c:pt>
                <c:pt idx="1">
                  <c:v>Indian</c:v>
                </c:pt>
                <c:pt idx="2">
                  <c:v>Italian</c:v>
                </c:pt>
                <c:pt idx="3">
                  <c:v>Mexican</c:v>
                </c:pt>
              </c:strCache>
            </c:strRef>
          </c:cat>
          <c:val>
            <c:numRef>
              <c:f>'RevenuebyCuisine&amp;Zone'!$C$5:$C$9</c:f>
              <c:numCache>
                <c:formatCode>General</c:formatCode>
                <c:ptCount val="4"/>
                <c:pt idx="0">
                  <c:v>11512</c:v>
                </c:pt>
                <c:pt idx="1">
                  <c:v>11989</c:v>
                </c:pt>
                <c:pt idx="2">
                  <c:v>13167</c:v>
                </c:pt>
              </c:numCache>
            </c:numRef>
          </c:val>
          <c:smooth val="0"/>
          <c:extLst>
            <c:ext xmlns:c16="http://schemas.microsoft.com/office/drawing/2014/chart" uri="{C3380CC4-5D6E-409C-BE32-E72D297353CC}">
              <c16:uniqueId val="{00000026-BF68-4256-9B09-11AF6064A855}"/>
            </c:ext>
          </c:extLst>
        </c:ser>
        <c:ser>
          <c:idx val="2"/>
          <c:order val="2"/>
          <c:tx>
            <c:strRef>
              <c:f>'RevenuebyCuisine&amp;Zone'!$D$3:$D$4</c:f>
              <c:strCache>
                <c:ptCount val="1"/>
                <c:pt idx="0">
                  <c:v>North</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'RevenuebyCuisine&amp;Zone'!$A$5:$A$9</c:f>
              <c:strCache>
                <c:ptCount val="4"/>
                <c:pt idx="0">
                  <c:v>Chinese</c:v>
                </c:pt>
                <c:pt idx="1">
                  <c:v>Indian</c:v>
                </c:pt>
                <c:pt idx="2">
                  <c:v>Italian</c:v>
                </c:pt>
                <c:pt idx="3">
                  <c:v>Mexican</c:v>
                </c:pt>
              </c:strCache>
            </c:strRef>
          </c:cat>
          <c:val>
            <c:numRef>
              <c:f>'RevenuebyCuisine&amp;Zone'!$D$5:$D$9</c:f>
              <c:numCache>
                <c:formatCode>General</c:formatCode>
                <c:ptCount val="4"/>
                <c:pt idx="0">
                  <c:v>12811</c:v>
                </c:pt>
                <c:pt idx="1">
                  <c:v>10553</c:v>
                </c:pt>
                <c:pt idx="2">
                  <c:v>15348</c:v>
                </c:pt>
              </c:numCache>
            </c:numRef>
          </c:val>
          <c:smooth val="0"/>
          <c:extLst>
            <c:ext xmlns:c16="http://schemas.microsoft.com/office/drawing/2014/chart" uri="{C3380CC4-5D6E-409C-BE32-E72D297353CC}">
              <c16:uniqueId val="{00000027-BF68-4256-9B09-11AF6064A855}"/>
            </c:ext>
          </c:extLst>
        </c:ser>
        <c:ser>
          <c:idx val="3"/>
          <c:order val="3"/>
          <c:tx>
            <c:strRef>
              <c:f>'RevenuebyCuisine&amp;Zone'!$E$3:$E$4</c:f>
              <c:strCache>
                <c:ptCount val="1"/>
                <c:pt idx="0">
                  <c:v>South</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'RevenuebyCuisine&amp;Zone'!$A$5:$A$9</c:f>
              <c:strCache>
                <c:ptCount val="4"/>
                <c:pt idx="0">
                  <c:v>Chinese</c:v>
                </c:pt>
                <c:pt idx="1">
                  <c:v>Indian</c:v>
                </c:pt>
                <c:pt idx="2">
                  <c:v>Italian</c:v>
                </c:pt>
                <c:pt idx="3">
                  <c:v>Mexican</c:v>
                </c:pt>
              </c:strCache>
            </c:strRef>
          </c:cat>
          <c:val>
            <c:numRef>
              <c:f>'RevenuebyCuisine&amp;Zone'!$E$5:$E$9</c:f>
              <c:numCache>
                <c:formatCode>General</c:formatCode>
                <c:ptCount val="4"/>
                <c:pt idx="0">
                  <c:v>12471</c:v>
                </c:pt>
                <c:pt idx="2">
                  <c:v>13633</c:v>
                </c:pt>
                <c:pt idx="3">
                  <c:v>10986</c:v>
                </c:pt>
              </c:numCache>
            </c:numRef>
          </c:val>
          <c:smooth val="0"/>
          <c:extLst>
            <c:ext xmlns:c16="http://schemas.microsoft.com/office/drawing/2014/chart" uri="{C3380CC4-5D6E-409C-BE32-E72D297353CC}">
              <c16:uniqueId val="{00000028-BF68-4256-9B09-11AF6064A855}"/>
            </c:ext>
          </c:extLst>
        </c:ser>
        <c:ser>
          <c:idx val="4"/>
          <c:order val="4"/>
          <c:tx>
            <c:strRef>
              <c:f>'RevenuebyCuisine&amp;Zone'!$F$3:$F$4</c:f>
              <c:strCache>
                <c:ptCount val="1"/>
                <c:pt idx="0">
                  <c:v>West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'RevenuebyCuisine&amp;Zone'!$A$5:$A$9</c:f>
              <c:strCache>
                <c:ptCount val="4"/>
                <c:pt idx="0">
                  <c:v>Chinese</c:v>
                </c:pt>
                <c:pt idx="1">
                  <c:v>Indian</c:v>
                </c:pt>
                <c:pt idx="2">
                  <c:v>Italian</c:v>
                </c:pt>
                <c:pt idx="3">
                  <c:v>Mexican</c:v>
                </c:pt>
              </c:strCache>
            </c:strRef>
          </c:cat>
          <c:val>
            <c:numRef>
              <c:f>'RevenuebyCuisine&amp;Zone'!$F$5:$F$9</c:f>
              <c:numCache>
                <c:formatCode>General</c:formatCode>
                <c:ptCount val="4"/>
                <c:pt idx="0">
                  <c:v>13430</c:v>
                </c:pt>
                <c:pt idx="1">
                  <c:v>14905</c:v>
                </c:pt>
                <c:pt idx="3">
                  <c:v>10345</c:v>
                </c:pt>
              </c:numCache>
            </c:numRef>
          </c:val>
          <c:smooth val="0"/>
          <c:extLst>
            <c:ext xmlns:c16="http://schemas.microsoft.com/office/drawing/2014/chart" uri="{C3380CC4-5D6E-409C-BE32-E72D297353CC}">
              <c16:uniqueId val="{00000029-BF68-4256-9B09-11AF6064A855}"/>
            </c:ext>
          </c:extLst>
        </c:ser>
        <c:dLbls>
          <c:dLblPos val="t"/>
          <c:showLegendKey val="0"/>
          <c:showVal val="1"/>
          <c:showCatName val="0"/>
          <c:showSerName val="0"/>
          <c:showPercent val="0"/>
          <c:showBubbleSize val="0"/>
        </c:dLbls>
        <c:marker val="1"/>
        <c:smooth val="0"/>
        <c:axId val="1272081647"/>
        <c:axId val="1272078735"/>
      </c:lineChart>
      <c:catAx>
        <c:axId val="12720816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272078735"/>
        <c:crosses val="autoZero"/>
        <c:auto val="1"/>
        <c:lblAlgn val="ctr"/>
        <c:lblOffset val="100"/>
        <c:noMultiLvlLbl val="0"/>
      </c:catAx>
      <c:valAx>
        <c:axId val="12720787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27208164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[TASKS_04.xlsx]Order Count by Month !PivotTable2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Order Count by Month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Count by Month '!$B$1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'Order Count by Month '!$A$2:$A$6</c:f>
              <c:multiLvlStrCache>
                <c:ptCount val="3"/>
                <c:lvl>
                  <c:pt idx="0">
                    <c:v>Jan</c:v>
                  </c:pt>
                  <c:pt idx="1">
                    <c:v>Feb</c:v>
                  </c:pt>
                  <c:pt idx="2">
                    <c:v>Mar</c:v>
                  </c:pt>
                </c:lvl>
                <c:lvl>
                  <c:pt idx="0">
                    <c:v>Qtr1</c:v>
                  </c:pt>
                </c:lvl>
              </c:multiLvlStrCache>
            </c:multiLvlStrRef>
          </c:cat>
          <c:val>
            <c:numRef>
              <c:f>'Order Count by Month '!$B$2:$B$6</c:f>
              <c:numCache>
                <c:formatCode>General</c:formatCode>
                <c:ptCount val="3"/>
                <c:pt idx="0">
                  <c:v>40</c:v>
                </c:pt>
                <c:pt idx="1">
                  <c:v>30</c:v>
                </c:pt>
                <c:pt idx="2">
                  <c:v>30</c:v>
                </c:pt>
              </c:numCache>
            </c:numRef>
          </c:val>
          <c:smooth val="0"/>
          <c:extLst>
            <c:ext xmlns:c16="http://schemas.microsoft.com/office/drawing/2014/chart" uri="{C3380CC4-5D6E-409C-BE32-E72D297353CC}">
              <c16:uniqueId val="{00000000-F18F-43C0-915E-2C0558E50D66}"/>
            </c:ext>
          </c:extLst>
        </c:ser>
        <c:dLbls>
          <c:dLblPos val="t"/>
          <c:showLegendKey val="0"/>
          <c:showVal val="1"/>
          <c:showCatName val="0"/>
          <c:showSerName val="0"/>
          <c:showPercent val="0"/>
          <c:showBubbleSize val="0"/>
        </c:dLbls>
        <c:marker val="1"/>
        <c:smooth val="0"/>
        <c:axId val="1270347119"/>
        <c:axId val="1270342543"/>
      </c:lineChart>
      <c:catAx>
        <c:axId val="1270347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342543"/>
        <c:crosses val="autoZero"/>
        <c:auto val="1"/>
        <c:lblAlgn val="ctr"/>
        <c:lblOffset val="100"/>
        <c:noMultiLvlLbl val="0"/>
      </c:catAx>
      <c:valAx>
        <c:axId val="12703425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27034711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000" b="1"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[TASKS_04.xlsx]Order Count by Month !PivotTable2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Order Count by Month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 Count by Month '!$B$1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'Order Count by Month '!$A$2:$A$6</c:f>
              <c:multiLvlStrCache>
                <c:ptCount val="3"/>
                <c:lvl>
                  <c:pt idx="0">
                    <c:v>Jan</c:v>
                  </c:pt>
                  <c:pt idx="1">
                    <c:v>Feb</c:v>
                  </c:pt>
                  <c:pt idx="2">
                    <c:v>Mar</c:v>
                  </c:pt>
                </c:lvl>
                <c:lvl>
                  <c:pt idx="0">
                    <c:v>Qtr1</c:v>
                  </c:pt>
                </c:lvl>
              </c:multiLvlStrCache>
            </c:multiLvlStrRef>
          </c:cat>
          <c:val>
            <c:numRef>
              <c:f>'Order Count by Month '!$B$2:$B$6</c:f>
              <c:numCache>
                <c:formatCode>General</c:formatCode>
                <c:ptCount val="3"/>
                <c:pt idx="0">
                  <c:v>40</c:v>
                </c:pt>
                <c:pt idx="1">
                  <c:v>30</c:v>
                </c:pt>
                <c:pt idx="2">
                  <c:v>30</c:v>
                </c:pt>
              </c:numCache>
            </c:numRef>
          </c:val>
          <c:smooth val="0"/>
          <c:extLst>
            <c:ext xmlns:c16="http://schemas.microsoft.com/office/drawing/2014/chart" uri="{C3380CC4-5D6E-409C-BE32-E72D297353CC}">
              <c16:uniqueId val="{00000000-B407-4617-826C-5EE689E4A642}"/>
            </c:ext>
          </c:extLst>
        </c:ser>
        <c:dLbls>
          <c:dLblPos val="t"/>
          <c:showLegendKey val="0"/>
          <c:showVal val="1"/>
          <c:showCatName val="0"/>
          <c:showSerName val="0"/>
          <c:showPercent val="0"/>
          <c:showBubbleSize val="0"/>
        </c:dLbls>
        <c:marker val="1"/>
        <c:smooth val="0"/>
        <c:axId val="1270347119"/>
        <c:axId val="1270342543"/>
      </c:lineChart>
      <c:catAx>
        <c:axId val="1270347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342543"/>
        <c:crosses val="autoZero"/>
        <c:auto val="1"/>
        <c:lblAlgn val="ctr"/>
        <c:lblOffset val="100"/>
        <c:noMultiLvlLbl val="0"/>
      </c:catAx>
      <c:valAx>
        <c:axId val="12703425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127034711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1"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[TASKS_04.xlsx]RevenuebyCuisine&amp;Zone!PivotTable1</c:name>
    <c:fmtId val="7"/>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effectLst>
                  <a:outerShdw blurRad="50800" dist="38100" dir="5400000" algn="t" rotWithShape="0">
                    <a:prstClr val="black">
                      <a:alpha val="40000"/>
                    </a:prstClr>
                  </a:outerShdw>
                </a:effectLst>
              </a:rPr>
              <a:t>Revenue by Cuisine × Zone</a:t>
            </a:r>
            <a:endParaRPr lang="en-US" sz="1800"/>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'RevenuebyCuisine&amp;Zone'!$B$3:$B$4</c:f>
              <c:strCache>
                <c:ptCount val="1"/>
                <c:pt idx="0">
                  <c:v>Central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'RevenuebyCuisine&amp;Zone'!$A$5:$A$9</c:f>
              <c:strCache>
                <c:ptCount val="4"/>
                <c:pt idx="0">
                  <c:v>Chinese</c:v>
                </c:pt>
                <c:pt idx="1">
                  <c:v>Indian</c:v>
                </c:pt>
                <c:pt idx="2">
                  <c:v>Italian</c:v>
                </c:pt>
                <c:pt idx="3">
                  <c:v>Mexican</c:v>
                </c:pt>
              </c:strCache>
            </c:strRef>
          </c:cat>
          <c:val>
            <c:numRef>
              <c:f>'RevenuebyCuisine&amp;Zone'!$B$5:$B$9</c:f>
              <c:numCache>
                <c:formatCode>General</c:formatCode>
                <c:ptCount val="4"/>
                <c:pt idx="1">
                  <c:v>12724</c:v>
                </c:pt>
                <c:pt idx="2">
                  <c:v>14389</c:v>
                </c:pt>
                <c:pt idx="3">
                  <c:v>11167</c:v>
                </c:pt>
              </c:numCache>
            </c:numRef>
          </c:val>
          <c:smooth val="0"/>
          <c:extLst>
            <c:ext xmlns:c16="http://schemas.microsoft.com/office/drawing/2014/chart" uri="{C3380CC4-5D6E-409C-BE32-E72D297353CC}">
              <c16:uniqueId val="{00000000-D162-4842-8EDF-8BB2C248985F}"/>
            </c:ext>
          </c:extLst>
        </c:ser>
        <c:ser>
          <c:idx val="1"/>
          <c:order val="1"/>
          <c:tx>
            <c:strRef>
              <c:f>'RevenuebyCuisine&amp;Zone'!$C$3:$C$4</c:f>
              <c:strCache>
                <c:ptCount val="1"/>
                <c:pt idx="0">
                  <c:v>East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'RevenuebyCuisine&amp;Zone'!$A$5:$A$9</c:f>
              <c:strCache>
                <c:ptCount val="4"/>
                <c:pt idx="0">
                  <c:v>Chinese</c:v>
                </c:pt>
                <c:pt idx="1">
                  <c:v>Indian</c:v>
                </c:pt>
                <c:pt idx="2">
                  <c:v>Italian</c:v>
                </c:pt>
                <c:pt idx="3">
                  <c:v>Mexican</c:v>
                </c:pt>
              </c:strCache>
            </c:strRef>
          </c:cat>
          <c:val>
            <c:numRef>
              <c:f>'RevenuebyCuisine&amp;Zone'!$C$5:$C$9</c:f>
              <c:numCache>
                <c:formatCode>General</c:formatCode>
                <c:ptCount val="4"/>
                <c:pt idx="0">
                  <c:v>11512</c:v>
                </c:pt>
                <c:pt idx="1">
                  <c:v>11989</c:v>
                </c:pt>
                <c:pt idx="2">
                  <c:v>13167</c:v>
                </c:pt>
              </c:numCache>
            </c:numRef>
          </c:val>
          <c:smooth val="0"/>
          <c:extLst>
            <c:ext xmlns:c16="http://schemas.microsoft.com/office/drawing/2014/chart" uri="{C3380CC4-5D6E-409C-BE32-E72D297353CC}">
              <c16:uniqueId val="{0000001A-D162-4842-8EDF-8BB2C248985F}"/>
            </c:ext>
          </c:extLst>
        </c:ser>
        <c:ser>
          <c:idx val="2"/>
          <c:order val="2"/>
          <c:tx>
            <c:strRef>
              <c:f>'RevenuebyCuisine&amp;Zone'!$D$3:$D$4</c:f>
              <c:strCache>
                <c:ptCount val="1"/>
                <c:pt idx="0">
                  <c:v>North</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'RevenuebyCuisine&amp;Zone'!$A$5:$A$9</c:f>
              <c:strCache>
                <c:ptCount val="4"/>
                <c:pt idx="0">
                  <c:v>Chinese</c:v>
                </c:pt>
                <c:pt idx="1">
                  <c:v>Indian</c:v>
                </c:pt>
                <c:pt idx="2">
                  <c:v>Italian</c:v>
                </c:pt>
                <c:pt idx="3">
                  <c:v>Mexican</c:v>
                </c:pt>
              </c:strCache>
            </c:strRef>
          </c:cat>
          <c:val>
            <c:numRef>
              <c:f>'RevenuebyCuisine&amp;Zone'!$D$5:$D$9</c:f>
              <c:numCache>
                <c:formatCode>General</c:formatCode>
                <c:ptCount val="4"/>
                <c:pt idx="0">
                  <c:v>12811</c:v>
                </c:pt>
                <c:pt idx="1">
                  <c:v>10553</c:v>
                </c:pt>
                <c:pt idx="2">
                  <c:v>15348</c:v>
                </c:pt>
              </c:numCache>
            </c:numRef>
          </c:val>
          <c:smooth val="0"/>
          <c:extLst>
            <c:ext xmlns:c16="http://schemas.microsoft.com/office/drawing/2014/chart" uri="{C3380CC4-5D6E-409C-BE32-E72D297353CC}">
              <c16:uniqueId val="{0000001B-D162-4842-8EDF-8BB2C248985F}"/>
            </c:ext>
          </c:extLst>
        </c:ser>
        <c:ser>
          <c:idx val="3"/>
          <c:order val="3"/>
          <c:tx>
            <c:strRef>
              <c:f>'RevenuebyCuisine&amp;Zone'!$E$3:$E$4</c:f>
              <c:strCache>
                <c:ptCount val="1"/>
                <c:pt idx="0">
                  <c:v>South</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'RevenuebyCuisine&amp;Zone'!$A$5:$A$9</c:f>
              <c:strCache>
                <c:ptCount val="4"/>
                <c:pt idx="0">
                  <c:v>Chinese</c:v>
                </c:pt>
                <c:pt idx="1">
                  <c:v>Indian</c:v>
                </c:pt>
                <c:pt idx="2">
                  <c:v>Italian</c:v>
                </c:pt>
                <c:pt idx="3">
                  <c:v>Mexican</c:v>
                </c:pt>
              </c:strCache>
            </c:strRef>
          </c:cat>
          <c:val>
            <c:numRef>
              <c:f>'RevenuebyCuisine&amp;Zone'!$E$5:$E$9</c:f>
              <c:numCache>
                <c:formatCode>General</c:formatCode>
                <c:ptCount val="4"/>
                <c:pt idx="0">
                  <c:v>12471</c:v>
                </c:pt>
                <c:pt idx="2">
                  <c:v>13633</c:v>
                </c:pt>
                <c:pt idx="3">
                  <c:v>10986</c:v>
                </c:pt>
              </c:numCache>
            </c:numRef>
          </c:val>
          <c:smooth val="0"/>
          <c:extLst>
            <c:ext xmlns:c16="http://schemas.microsoft.com/office/drawing/2014/chart" uri="{C3380CC4-5D6E-409C-BE32-E72D297353CC}">
              <c16:uniqueId val="{0000001C-D162-4842-8EDF-8BB2C248985F}"/>
            </c:ext>
          </c:extLst>
        </c:ser>
        <c:ser>
          <c:idx val="4"/>
          <c:order val="4"/>
          <c:tx>
            <c:strRef>
              <c:f>'RevenuebyCuisine&amp;Zone'!$F$3:$F$4</c:f>
              <c:strCache>
                <c:ptCount val="1"/>
                <c:pt idx="0">
                  <c:v>West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'RevenuebyCuisine&amp;Zone'!$A$5:$A$9</c:f>
              <c:strCache>
                <c:ptCount val="4"/>
                <c:pt idx="0">
                  <c:v>Chinese</c:v>
                </c:pt>
                <c:pt idx="1">
                  <c:v>Indian</c:v>
                </c:pt>
                <c:pt idx="2">
                  <c:v>Italian</c:v>
                </c:pt>
                <c:pt idx="3">
                  <c:v>Mexican</c:v>
                </c:pt>
              </c:strCache>
            </c:strRef>
          </c:cat>
          <c:val>
            <c:numRef>
              <c:f>'RevenuebyCuisine&amp;Zone'!$F$5:$F$9</c:f>
              <c:numCache>
                <c:formatCode>General</c:formatCode>
                <c:ptCount val="4"/>
                <c:pt idx="0">
                  <c:v>13430</c:v>
                </c:pt>
                <c:pt idx="1">
                  <c:v>14905</c:v>
                </c:pt>
                <c:pt idx="3">
                  <c:v>10345</c:v>
                </c:pt>
              </c:numCache>
            </c:numRef>
          </c:val>
          <c:smooth val="0"/>
          <c:extLst>
            <c:ext xmlns:c16="http://schemas.microsoft.com/office/drawing/2014/chart" uri="{C3380CC4-5D6E-409C-BE32-E72D297353CC}">
              <c16:uniqueId val="{0000001D-D162-4842-8EDF-8BB2C248985F}"/>
            </c:ext>
          </c:extLst>
        </c:ser>
        <c:dLbls>
          <c:dLblPos val="t"/>
          <c:showLegendKey val="0"/>
          <c:showVal val="1"/>
          <c:showCatName val="0"/>
          <c:showSerName val="0"/>
          <c:showPercent val="0"/>
          <c:showBubbleSize val="0"/>
        </c:dLbls>
        <c:marker val="1"/>
        <c:smooth val="0"/>
        <c:axId val="1272081647"/>
        <c:axId val="1272078735"/>
      </c:lineChart>
      <c:catAx>
        <c:axId val="12720816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272078735"/>
        <c:crosses val="autoZero"/>
        <c:auto val="1"/>
        <c:lblAlgn val="ctr"/>
        <c:lblOffset val="100"/>
        <c:noMultiLvlLbl val="0"/>
      </c:catAx>
      <c:valAx>
        <c:axId val="12720787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lt1">
                    <a:lumMod val="85000"/>
                  </a:schemeClr>
                </a:solidFill>
                <a:latin typeface="+mn-lt"/>
                <a:ea typeface="+mn-ea"/>
                <a:cs typeface="+mn-cs"/>
              </a:defRPr>
            </a:pPr>
            <a:endParaRPr lang="en-US"/>
          </a:p>
        </c:txPr>
        <c:crossAx val="127208164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38100</xdr:colOff>
      <xdr:row>9</xdr:row>
      <xdr:rowOff>110490</xdr:rowOff>
    </xdr:from>
    <xdr:to>
      <xdr:col>17</xdr:col>
      <xdr:colOff>243840</xdr:colOff>
      <xdr:row>27</xdr:row>
      <xdr:rowOff>99060</xdr:rowOff>
    </xdr:to>
    <xdr:graphicFrame macro="">
      <xdr:nvGraphicFramePr>
        <xdr:cNvPr id="3" name="Chart 2">
          <a:extLst>
            <a:ext uri="{FF2B5EF4-FFF2-40B4-BE49-F238E27FC236}">
              <a16:creationId xmlns:a16="http://schemas.microsoft.com/office/drawing/2014/main" id="{C7D8CA15-1E5B-4412-BB8E-13E3D8DAD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137161</xdr:rowOff>
    </xdr:from>
    <xdr:to>
      <xdr:col>4</xdr:col>
      <xdr:colOff>304800</xdr:colOff>
      <xdr:row>18</xdr:row>
      <xdr:rowOff>121921</xdr:rowOff>
    </xdr:to>
    <mc:AlternateContent xmlns:mc="http://schemas.openxmlformats.org/markup-compatibility/2006">
      <mc:Choice xmlns:a14="http://schemas.microsoft.com/office/drawing/2010/main" Requires="a14">
        <xdr:graphicFrame macro="">
          <xdr:nvGraphicFramePr>
            <xdr:cNvPr id="4" name="Zone">
              <a:extLst>
                <a:ext uri="{FF2B5EF4-FFF2-40B4-BE49-F238E27FC236}">
                  <a16:creationId xmlns:a16="http://schemas.microsoft.com/office/drawing/2014/main" id="{F4292854-1239-460B-AB67-FBA10E0017B1}"/>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0" y="1783081"/>
              <a:ext cx="3215640" cy="1630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19050</xdr:rowOff>
    </xdr:from>
    <xdr:to>
      <xdr:col>9</xdr:col>
      <xdr:colOff>274320</xdr:colOff>
      <xdr:row>24</xdr:row>
      <xdr:rowOff>30480</xdr:rowOff>
    </xdr:to>
    <xdr:graphicFrame macro="">
      <xdr:nvGraphicFramePr>
        <xdr:cNvPr id="2" name="Chart 1">
          <a:extLst>
            <a:ext uri="{FF2B5EF4-FFF2-40B4-BE49-F238E27FC236}">
              <a16:creationId xmlns:a16="http://schemas.microsoft.com/office/drawing/2014/main" id="{7B04E831-0373-496A-B6A5-78ECF1212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419100</xdr:colOff>
      <xdr:row>0</xdr:row>
      <xdr:rowOff>0</xdr:rowOff>
    </xdr:from>
    <xdr:to>
      <xdr:col>8</xdr:col>
      <xdr:colOff>205740</xdr:colOff>
      <xdr:row>6</xdr:row>
      <xdr:rowOff>160020</xdr:rowOff>
    </xdr:to>
    <mc:AlternateContent xmlns:mc="http://schemas.openxmlformats.org/markup-compatibility/2006">
      <mc:Choice xmlns:tsle="http://schemas.microsoft.com/office/drawing/2012/timeslicer" Requires="tsle">
        <xdr:graphicFrame macro="">
          <xdr:nvGraphicFramePr>
            <xdr:cNvPr id="3" name="OrderDate">
              <a:extLst>
                <a:ext uri="{FF2B5EF4-FFF2-40B4-BE49-F238E27FC236}">
                  <a16:creationId xmlns:a16="http://schemas.microsoft.com/office/drawing/2014/main" id="{640C0E88-28DA-46BE-9F7B-9E3F94CD3D78}"/>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2339340" y="0"/>
              <a:ext cx="3444240" cy="1257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3</xdr:row>
      <xdr:rowOff>0</xdr:rowOff>
    </xdr:from>
    <xdr:to>
      <xdr:col>4</xdr:col>
      <xdr:colOff>7620</xdr:colOff>
      <xdr:row>5</xdr:row>
      <xdr:rowOff>83820</xdr:rowOff>
    </xdr:to>
    <xdr:sp macro="" textlink="">
      <xdr:nvSpPr>
        <xdr:cNvPr id="2" name="Rectangle 1">
          <a:extLst>
            <a:ext uri="{FF2B5EF4-FFF2-40B4-BE49-F238E27FC236}">
              <a16:creationId xmlns:a16="http://schemas.microsoft.com/office/drawing/2014/main" id="{EBE0BB49-89B3-4446-B6DB-E9CED1989437}"/>
            </a:ext>
          </a:extLst>
        </xdr:cNvPr>
        <xdr:cNvSpPr/>
      </xdr:nvSpPr>
      <xdr:spPr>
        <a:xfrm>
          <a:off x="15240" y="548640"/>
          <a:ext cx="2430780" cy="449580"/>
        </a:xfrm>
        <a:prstGeom prst="rect">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TOTAL REVENUE </a:t>
          </a:r>
        </a:p>
      </xdr:txBody>
    </xdr:sp>
    <xdr:clientData/>
  </xdr:twoCellAnchor>
  <xdr:twoCellAnchor>
    <xdr:from>
      <xdr:col>5</xdr:col>
      <xdr:colOff>38100</xdr:colOff>
      <xdr:row>3</xdr:row>
      <xdr:rowOff>7620</xdr:rowOff>
    </xdr:from>
    <xdr:to>
      <xdr:col>9</xdr:col>
      <xdr:colOff>30480</xdr:colOff>
      <xdr:row>5</xdr:row>
      <xdr:rowOff>91440</xdr:rowOff>
    </xdr:to>
    <xdr:sp macro="" textlink="">
      <xdr:nvSpPr>
        <xdr:cNvPr id="3" name="Rectangle 2">
          <a:extLst>
            <a:ext uri="{FF2B5EF4-FFF2-40B4-BE49-F238E27FC236}">
              <a16:creationId xmlns:a16="http://schemas.microsoft.com/office/drawing/2014/main" id="{B74C3277-DDC5-4DEB-85B3-4A08C295BAB1}"/>
            </a:ext>
          </a:extLst>
        </xdr:cNvPr>
        <xdr:cNvSpPr/>
      </xdr:nvSpPr>
      <xdr:spPr>
        <a:xfrm>
          <a:off x="3086100" y="556260"/>
          <a:ext cx="2430780" cy="449580"/>
        </a:xfrm>
        <a:prstGeom prst="rect">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AVG RATING </a:t>
          </a:r>
        </a:p>
      </xdr:txBody>
    </xdr:sp>
    <xdr:clientData/>
  </xdr:twoCellAnchor>
  <xdr:twoCellAnchor>
    <xdr:from>
      <xdr:col>9</xdr:col>
      <xdr:colOff>15240</xdr:colOff>
      <xdr:row>3</xdr:row>
      <xdr:rowOff>0</xdr:rowOff>
    </xdr:from>
    <xdr:to>
      <xdr:col>14</xdr:col>
      <xdr:colOff>0</xdr:colOff>
      <xdr:row>5</xdr:row>
      <xdr:rowOff>53340</xdr:rowOff>
    </xdr:to>
    <xdr:sp macro="" textlink="">
      <xdr:nvSpPr>
        <xdr:cNvPr id="4" name="Rectangle 3">
          <a:extLst>
            <a:ext uri="{FF2B5EF4-FFF2-40B4-BE49-F238E27FC236}">
              <a16:creationId xmlns:a16="http://schemas.microsoft.com/office/drawing/2014/main" id="{A22A3EB8-CBBB-42D7-9EBE-46E0FADA2C8A}"/>
            </a:ext>
          </a:extLst>
        </xdr:cNvPr>
        <xdr:cNvSpPr/>
      </xdr:nvSpPr>
      <xdr:spPr>
        <a:xfrm>
          <a:off x="5501640" y="548640"/>
          <a:ext cx="3032760" cy="419100"/>
        </a:xfrm>
        <a:prstGeom prst="rect">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ON-TIME DELIVERY % </a:t>
          </a:r>
        </a:p>
      </xdr:txBody>
    </xdr:sp>
    <xdr:clientData/>
  </xdr:twoCellAnchor>
  <xdr:twoCellAnchor editAs="oneCell">
    <xdr:from>
      <xdr:col>0</xdr:col>
      <xdr:colOff>0</xdr:colOff>
      <xdr:row>7</xdr:row>
      <xdr:rowOff>0</xdr:rowOff>
    </xdr:from>
    <xdr:to>
      <xdr:col>14</xdr:col>
      <xdr:colOff>0</xdr:colOff>
      <xdr:row>10</xdr:row>
      <xdr:rowOff>175260</xdr:rowOff>
    </xdr:to>
    <mc:AlternateContent xmlns:mc="http://schemas.openxmlformats.org/markup-compatibility/2006">
      <mc:Choice xmlns:a14="http://schemas.microsoft.com/office/drawing/2010/main" Requires="a14">
        <xdr:graphicFrame macro="">
          <xdr:nvGraphicFramePr>
            <xdr:cNvPr id="6" name="Zone 1">
              <a:extLst>
                <a:ext uri="{FF2B5EF4-FFF2-40B4-BE49-F238E27FC236}">
                  <a16:creationId xmlns:a16="http://schemas.microsoft.com/office/drawing/2014/main" id="{A01490E3-7281-4719-A499-1CD20B15EFC1}"/>
                </a:ext>
              </a:extLst>
            </xdr:cNvPr>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dr:sp macro="" textlink="">
          <xdr:nvSpPr>
            <xdr:cNvPr id="0" name=""/>
            <xdr:cNvSpPr>
              <a:spLocks noTextEdit="1"/>
            </xdr:cNvSpPr>
          </xdr:nvSpPr>
          <xdr:spPr>
            <a:xfrm>
              <a:off x="0" y="1280160"/>
              <a:ext cx="853440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167640</xdr:rowOff>
    </xdr:from>
    <xdr:to>
      <xdr:col>13</xdr:col>
      <xdr:colOff>601980</xdr:colOff>
      <xdr:row>17</xdr:row>
      <xdr:rowOff>60960</xdr:rowOff>
    </xdr:to>
    <mc:AlternateContent xmlns:mc="http://schemas.openxmlformats.org/markup-compatibility/2006">
      <mc:Choice xmlns:tsle="http://schemas.microsoft.com/office/drawing/2012/timeslicer" Requires="tsle">
        <xdr:graphicFrame macro="">
          <xdr:nvGraphicFramePr>
            <xdr:cNvPr id="7" name="OrderDate 1">
              <a:extLst>
                <a:ext uri="{FF2B5EF4-FFF2-40B4-BE49-F238E27FC236}">
                  <a16:creationId xmlns:a16="http://schemas.microsoft.com/office/drawing/2014/main" id="{C7780027-FBCD-4D48-9B74-3C34F26CF0F6}"/>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0" y="1996440"/>
              <a:ext cx="8526780" cy="1173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160020</xdr:colOff>
      <xdr:row>17</xdr:row>
      <xdr:rowOff>76200</xdr:rowOff>
    </xdr:from>
    <xdr:to>
      <xdr:col>14</xdr:col>
      <xdr:colOff>22860</xdr:colOff>
      <xdr:row>31</xdr:row>
      <xdr:rowOff>83820</xdr:rowOff>
    </xdr:to>
    <xdr:graphicFrame macro="">
      <xdr:nvGraphicFramePr>
        <xdr:cNvPr id="8" name="Chart 7">
          <a:extLst>
            <a:ext uri="{FF2B5EF4-FFF2-40B4-BE49-F238E27FC236}">
              <a16:creationId xmlns:a16="http://schemas.microsoft.com/office/drawing/2014/main" id="{018911C8-5470-43E2-B13E-5BCD9A88D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17</xdr:row>
      <xdr:rowOff>76200</xdr:rowOff>
    </xdr:from>
    <xdr:to>
      <xdr:col>7</xdr:col>
      <xdr:colOff>144780</xdr:colOff>
      <xdr:row>31</xdr:row>
      <xdr:rowOff>83820</xdr:rowOff>
    </xdr:to>
    <xdr:graphicFrame macro="">
      <xdr:nvGraphicFramePr>
        <xdr:cNvPr id="9" name="Chart 8">
          <a:extLst>
            <a:ext uri="{FF2B5EF4-FFF2-40B4-BE49-F238E27FC236}">
              <a16:creationId xmlns:a16="http://schemas.microsoft.com/office/drawing/2014/main" id="{CD2D1130-8595-43B0-A936-EDD8C5DDD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5.000204282405" createdVersion="7" refreshedVersion="7" minRefreshableVersion="3" recordCount="100" xr:uid="{920675C5-826C-4677-82B4-E8C196C8FFE5}">
  <cacheSource type="worksheet">
    <worksheetSource name="Table1"/>
  </cacheSource>
  <cacheFields count="13">
    <cacheField name="OrderID" numFmtId="0">
      <sharedItems/>
    </cacheField>
    <cacheField name="RestaurantID" numFmtId="0">
      <sharedItems/>
    </cacheField>
    <cacheField name="Cuisine" numFmtId="0">
      <sharedItems count="4">
        <s v="Indian"/>
        <s v="Chinese"/>
        <s v="Italian"/>
        <s v="Mexican"/>
      </sharedItems>
    </cacheField>
    <cacheField name="Zone" numFmtId="0">
      <sharedItems count="5">
        <s v="West"/>
        <s v="Central"/>
        <s v="North"/>
        <s v="East"/>
        <s v="South"/>
      </sharedItems>
    </cacheField>
    <cacheField name="OrderDate" numFmtId="15">
      <sharedItems containsSemiMixedTypes="0" containsNonDate="0" containsDate="1" containsString="0" minDate="2026-01-02T00:00:00" maxDate="2026-03-31T00:00:00" count="30">
        <d v="2026-01-02T00:00:00"/>
        <d v="2026-01-05T00:00:00"/>
        <d v="2026-01-08T00:00:00"/>
        <d v="2026-01-11T00:00:00"/>
        <d v="2026-01-14T00:00:00"/>
        <d v="2026-01-17T00:00:00"/>
        <d v="2026-01-20T00:00:00"/>
        <d v="2026-01-23T00:00:00"/>
        <d v="2026-01-26T00:00:00"/>
        <d v="2026-01-29T00:00:00"/>
        <d v="2026-02-01T00:00:00"/>
        <d v="2026-02-04T00:00:00"/>
        <d v="2026-02-07T00:00:00"/>
        <d v="2026-02-10T00:00:00"/>
        <d v="2026-02-13T00:00:00"/>
        <d v="2026-02-16T00:00:00"/>
        <d v="2026-02-19T00:00:00"/>
        <d v="2026-02-22T00:00:00"/>
        <d v="2026-02-25T00:00:00"/>
        <d v="2026-02-28T00:00:00"/>
        <d v="2026-03-03T00:00:00"/>
        <d v="2026-03-06T00:00:00"/>
        <d v="2026-03-09T00:00:00"/>
        <d v="2026-03-12T00:00:00"/>
        <d v="2026-03-15T00:00:00"/>
        <d v="2026-03-18T00:00:00"/>
        <d v="2026-03-21T00:00:00"/>
        <d v="2026-03-24T00:00:00"/>
        <d v="2026-03-27T00:00:00"/>
        <d v="2026-03-30T00:00:00"/>
      </sharedItems>
      <fieldGroup par="12" base="4">
        <rangePr groupBy="months" startDate="2026-01-02T00:00:00" endDate="2026-03-31T00:00:00"/>
        <groupItems count="14">
          <s v="&lt;1/2/2026"/>
          <s v="Jan"/>
          <s v="Feb"/>
          <s v="Mar"/>
          <s v="Apr"/>
          <s v="May"/>
          <s v="Jun"/>
          <s v="Jul"/>
          <s v="Aug"/>
          <s v="Sep"/>
          <s v="Oct"/>
          <s v="Nov"/>
          <s v="Dec"/>
          <s v="&gt;3/31/2026"/>
        </groupItems>
      </fieldGroup>
    </cacheField>
    <cacheField name="DeliveryTime" numFmtId="0">
      <sharedItems containsSemiMixedTypes="0" containsString="0" containsNumber="1" containsInteger="1" minValue="23" maxValue="49"/>
    </cacheField>
    <cacheField name="Rating" numFmtId="0">
      <sharedItems containsSemiMixedTypes="0" containsString="0" containsNumber="1" minValue="3.3" maxValue="4.9000000000000004"/>
    </cacheField>
    <cacheField name="Revenue" numFmtId="0">
      <sharedItems containsSemiMixedTypes="0" containsString="0" containsNumber="1" containsInteger="1" minValue="450" maxValue="3497"/>
    </cacheField>
    <cacheField name="Status" numFmtId="0">
      <sharedItems/>
    </cacheField>
    <cacheField name="RestaurantName" numFmtId="0">
      <sharedItems/>
    </cacheField>
    <cacheField name="Category" numFmtId="0">
      <sharedItems/>
    </cacheField>
    <cacheField name="Fast Delivery" numFmtId="0">
      <sharedItems containsSemiMixedTypes="0" containsString="0" containsNumber="1" containsInteger="1" minValue="0" maxValue="1"/>
    </cacheField>
    <cacheField name="Quarters" numFmtId="0" databaseField="0">
      <fieldGroup base="4">
        <rangePr groupBy="quarters" startDate="2026-01-02T00:00:00" endDate="2026-03-31T00:00:00"/>
        <groupItems count="6">
          <s v="&lt;1/2/2026"/>
          <s v="Qtr1"/>
          <s v="Qtr2"/>
          <s v="Qtr3"/>
          <s v="Qtr4"/>
          <s v="&gt;3/31/2026"/>
        </groupItems>
      </fieldGroup>
    </cacheField>
  </cacheFields>
  <extLst>
    <ext xmlns:x14="http://schemas.microsoft.com/office/spreadsheetml/2009/9/main" uri="{725AE2AE-9491-48be-B2B4-4EB974FC3084}">
      <x14:pivotCacheDefinition pivotCacheId="1079517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s v="R001"/>
    <x v="0"/>
    <x v="0"/>
    <x v="0"/>
    <n v="24"/>
    <n v="3.4"/>
    <n v="450"/>
    <s v="Delayed"/>
    <s v="Spice Villa"/>
    <s v="Indian"/>
    <n v="0"/>
  </r>
  <r>
    <s v="ORD002"/>
    <s v="R002"/>
    <x v="0"/>
    <x v="1"/>
    <x v="1"/>
    <n v="31"/>
    <n v="3.7"/>
    <n v="587"/>
    <s v="Delivered"/>
    <s v="Tandoori Tales"/>
    <s v="Indian"/>
    <n v="1"/>
  </r>
  <r>
    <s v="ORD003"/>
    <s v="R003"/>
    <x v="0"/>
    <x v="2"/>
    <x v="2"/>
    <n v="38"/>
    <n v="4"/>
    <n v="724"/>
    <s v="Delivered"/>
    <s v="Curry Corner"/>
    <s v="Indian"/>
    <n v="1"/>
  </r>
  <r>
    <s v="ORD004"/>
    <s v="R004"/>
    <x v="1"/>
    <x v="3"/>
    <x v="3"/>
    <n v="45"/>
    <n v="4.3"/>
    <n v="861"/>
    <s v="Delivered"/>
    <s v="Urban Wok"/>
    <s v="Chinese"/>
    <n v="0"/>
  </r>
  <r>
    <s v="ORD005"/>
    <s v="R005"/>
    <x v="1"/>
    <x v="4"/>
    <x v="4"/>
    <n v="25"/>
    <n v="4.5999999999999996"/>
    <n v="998"/>
    <s v="Delivered"/>
    <s v="Dragon Bowl"/>
    <s v="Chinese"/>
    <n v="1"/>
  </r>
  <r>
    <s v="ORD006"/>
    <s v="R006"/>
    <x v="1"/>
    <x v="0"/>
    <x v="5"/>
    <n v="32"/>
    <n v="4.9000000000000004"/>
    <n v="1135"/>
    <s v="Delivered"/>
    <s v="Golden Wok"/>
    <s v="Chinese"/>
    <n v="1"/>
  </r>
  <r>
    <s v="ORD007"/>
    <s v="R007"/>
    <x v="2"/>
    <x v="1"/>
    <x v="6"/>
    <n v="39"/>
    <n v="3.5"/>
    <n v="1272"/>
    <s v="Delivered"/>
    <s v="Pasta Palace"/>
    <s v="Italian"/>
    <n v="1"/>
  </r>
  <r>
    <s v="ORD008"/>
    <s v="R008"/>
    <x v="2"/>
    <x v="2"/>
    <x v="7"/>
    <n v="46"/>
    <n v="3.8"/>
    <n v="1409"/>
    <s v="Delivered"/>
    <s v="Roma Kitchen"/>
    <s v="Italian"/>
    <n v="0"/>
  </r>
  <r>
    <s v="ORD009"/>
    <s v="R009"/>
    <x v="2"/>
    <x v="3"/>
    <x v="8"/>
    <n v="26"/>
    <n v="4.0999999999999996"/>
    <n v="1546"/>
    <s v="Delivered"/>
    <s v="Bella Italia"/>
    <s v="Italian"/>
    <n v="1"/>
  </r>
  <r>
    <s v="ORD010"/>
    <s v="R010"/>
    <x v="3"/>
    <x v="4"/>
    <x v="9"/>
    <n v="33"/>
    <n v="4.4000000000000004"/>
    <n v="1683"/>
    <s v="Delivered"/>
    <s v="Mexican Fiesta"/>
    <s v="Mexican"/>
    <n v="1"/>
  </r>
  <r>
    <s v="ORD011"/>
    <s v="R011"/>
    <x v="3"/>
    <x v="0"/>
    <x v="10"/>
    <n v="40"/>
    <n v="4.7"/>
    <n v="1820"/>
    <s v="Delivered"/>
    <s v="Taco Town"/>
    <s v="Mexican"/>
    <n v="1"/>
  </r>
  <r>
    <s v="ORD012"/>
    <s v="R012"/>
    <x v="3"/>
    <x v="1"/>
    <x v="11"/>
    <n v="47"/>
    <n v="3.3"/>
    <n v="1957"/>
    <s v="Delivered"/>
    <s v="Casa Mexicana"/>
    <s v="Mexican"/>
    <n v="0"/>
  </r>
  <r>
    <s v="ORD013"/>
    <s v="R013"/>
    <x v="0"/>
    <x v="3"/>
    <x v="12"/>
    <n v="27"/>
    <n v="3.6"/>
    <n v="2094"/>
    <s v="Delivered"/>
    <s v="Masala House"/>
    <s v="Indian"/>
    <n v="1"/>
  </r>
  <r>
    <s v="ORD014"/>
    <s v="R014"/>
    <x v="1"/>
    <x v="2"/>
    <x v="13"/>
    <n v="34"/>
    <n v="3.9"/>
    <n v="2231"/>
    <s v="Delivered"/>
    <s v="Wok Express"/>
    <s v="Chinese"/>
    <n v="1"/>
  </r>
  <r>
    <s v="ORD015"/>
    <s v="R015"/>
    <x v="2"/>
    <x v="4"/>
    <x v="14"/>
    <n v="41"/>
    <n v="4.2"/>
    <n v="2368"/>
    <s v="Delivered"/>
    <s v="Pasta Street"/>
    <s v="Italian"/>
    <n v="0"/>
  </r>
  <r>
    <s v="ORD016"/>
    <s v="R001"/>
    <x v="0"/>
    <x v="0"/>
    <x v="15"/>
    <n v="48"/>
    <n v="4.5"/>
    <n v="2505"/>
    <s v="Delivered"/>
    <s v="Spice Villa"/>
    <s v="Indian"/>
    <n v="0"/>
  </r>
  <r>
    <s v="ORD017"/>
    <s v="R002"/>
    <x v="0"/>
    <x v="1"/>
    <x v="16"/>
    <n v="28"/>
    <n v="4.8"/>
    <n v="2642"/>
    <s v="Delivered"/>
    <s v="Tandoori Tales"/>
    <s v="Indian"/>
    <n v="1"/>
  </r>
  <r>
    <s v="ORD018"/>
    <s v="R003"/>
    <x v="0"/>
    <x v="2"/>
    <x v="17"/>
    <n v="35"/>
    <n v="3.4"/>
    <n v="2779"/>
    <s v="Delivered"/>
    <s v="Curry Corner"/>
    <s v="Indian"/>
    <n v="1"/>
  </r>
  <r>
    <s v="ORD019"/>
    <s v="R004"/>
    <x v="1"/>
    <x v="3"/>
    <x v="18"/>
    <n v="42"/>
    <n v="3.7"/>
    <n v="2916"/>
    <s v="Delivered"/>
    <s v="Urban Wok"/>
    <s v="Chinese"/>
    <n v="0"/>
  </r>
  <r>
    <s v="ORD020"/>
    <s v="R005"/>
    <x v="1"/>
    <x v="4"/>
    <x v="19"/>
    <n v="49"/>
    <n v="4"/>
    <n v="3053"/>
    <s v="Delivered"/>
    <s v="Dragon Bowl"/>
    <s v="Chinese"/>
    <n v="0"/>
  </r>
  <r>
    <s v="ORD021"/>
    <s v="R006"/>
    <x v="1"/>
    <x v="0"/>
    <x v="20"/>
    <n v="29"/>
    <n v="4.3"/>
    <n v="3190"/>
    <s v="Delivered"/>
    <s v="Golden Wok"/>
    <s v="Chinese"/>
    <n v="1"/>
  </r>
  <r>
    <s v="ORD022"/>
    <s v="R007"/>
    <x v="2"/>
    <x v="1"/>
    <x v="21"/>
    <n v="36"/>
    <n v="4.5999999999999996"/>
    <n v="3327"/>
    <s v="Delivered"/>
    <s v="Pasta Palace"/>
    <s v="Italian"/>
    <n v="1"/>
  </r>
  <r>
    <s v="ORD023"/>
    <s v="R008"/>
    <x v="2"/>
    <x v="2"/>
    <x v="22"/>
    <n v="43"/>
    <n v="4.9000000000000004"/>
    <n v="3464"/>
    <s v="Delivered"/>
    <s v="Roma Kitchen"/>
    <s v="Italian"/>
    <n v="0"/>
  </r>
  <r>
    <s v="ORD024"/>
    <s v="R009"/>
    <x v="2"/>
    <x v="3"/>
    <x v="23"/>
    <n v="23"/>
    <n v="3.5"/>
    <n v="461"/>
    <s v="Delivered"/>
    <s v="Bella Italia"/>
    <s v="Italian"/>
    <n v="1"/>
  </r>
  <r>
    <s v="ORD025"/>
    <s v="R010"/>
    <x v="3"/>
    <x v="4"/>
    <x v="24"/>
    <n v="30"/>
    <n v="3.8"/>
    <n v="598"/>
    <s v="Delivered"/>
    <s v="Mexican Fiesta"/>
    <s v="Mexican"/>
    <n v="1"/>
  </r>
  <r>
    <s v="ORD026"/>
    <s v="R011"/>
    <x v="3"/>
    <x v="0"/>
    <x v="25"/>
    <n v="37"/>
    <n v="4.0999999999999996"/>
    <n v="735"/>
    <s v="Delivered"/>
    <s v="Taco Town"/>
    <s v="Mexican"/>
    <n v="1"/>
  </r>
  <r>
    <s v="ORD027"/>
    <s v="R012"/>
    <x v="3"/>
    <x v="1"/>
    <x v="26"/>
    <n v="44"/>
    <n v="4.4000000000000004"/>
    <n v="872"/>
    <s v="Delivered"/>
    <s v="Casa Mexicana"/>
    <s v="Mexican"/>
    <n v="0"/>
  </r>
  <r>
    <s v="ORD028"/>
    <s v="R013"/>
    <x v="0"/>
    <x v="3"/>
    <x v="27"/>
    <n v="24"/>
    <n v="4.7"/>
    <n v="1009"/>
    <s v="Delivered"/>
    <s v="Masala House"/>
    <s v="Indian"/>
    <n v="1"/>
  </r>
  <r>
    <s v="ORD029"/>
    <s v="R014"/>
    <x v="1"/>
    <x v="2"/>
    <x v="28"/>
    <n v="31"/>
    <n v="3.3"/>
    <n v="1146"/>
    <s v="Delivered"/>
    <s v="Wok Express"/>
    <s v="Chinese"/>
    <n v="1"/>
  </r>
  <r>
    <s v="ORD030"/>
    <s v="R015"/>
    <x v="2"/>
    <x v="4"/>
    <x v="29"/>
    <n v="38"/>
    <n v="3.6"/>
    <n v="1283"/>
    <s v="Delivered"/>
    <s v="Pasta Street"/>
    <s v="Italian"/>
    <n v="1"/>
  </r>
  <r>
    <s v="ORD031"/>
    <s v="R001"/>
    <x v="0"/>
    <x v="0"/>
    <x v="0"/>
    <n v="45"/>
    <n v="3.9"/>
    <n v="1420"/>
    <s v="Delivered"/>
    <s v="Spice Villa"/>
    <s v="Indian"/>
    <n v="0"/>
  </r>
  <r>
    <s v="ORD032"/>
    <s v="R002"/>
    <x v="0"/>
    <x v="1"/>
    <x v="1"/>
    <n v="25"/>
    <n v="4.2"/>
    <n v="1557"/>
    <s v="Delivered"/>
    <s v="Tandoori Tales"/>
    <s v="Indian"/>
    <n v="1"/>
  </r>
  <r>
    <s v="ORD033"/>
    <s v="R003"/>
    <x v="0"/>
    <x v="2"/>
    <x v="2"/>
    <n v="32"/>
    <n v="4.5"/>
    <n v="1694"/>
    <s v="Delivered"/>
    <s v="Curry Corner"/>
    <s v="Indian"/>
    <n v="1"/>
  </r>
  <r>
    <s v="ORD034"/>
    <s v="R004"/>
    <x v="1"/>
    <x v="3"/>
    <x v="3"/>
    <n v="39"/>
    <n v="4.8"/>
    <n v="1831"/>
    <s v="Delivered"/>
    <s v="Urban Wok"/>
    <s v="Chinese"/>
    <n v="1"/>
  </r>
  <r>
    <s v="ORD035"/>
    <s v="R005"/>
    <x v="1"/>
    <x v="4"/>
    <x v="4"/>
    <n v="46"/>
    <n v="3.4"/>
    <n v="1968"/>
    <s v="Delayed"/>
    <s v="Dragon Bowl"/>
    <s v="Chinese"/>
    <n v="0"/>
  </r>
  <r>
    <s v="ORD036"/>
    <s v="R006"/>
    <x v="1"/>
    <x v="0"/>
    <x v="5"/>
    <n v="26"/>
    <n v="3.7"/>
    <n v="2105"/>
    <s v="Delivered"/>
    <s v="Golden Wok"/>
    <s v="Chinese"/>
    <n v="1"/>
  </r>
  <r>
    <s v="ORD037"/>
    <s v="R007"/>
    <x v="2"/>
    <x v="1"/>
    <x v="6"/>
    <n v="33"/>
    <n v="4"/>
    <n v="2242"/>
    <s v="Delivered"/>
    <s v="Pasta Palace"/>
    <s v="Italian"/>
    <n v="1"/>
  </r>
  <r>
    <s v="ORD038"/>
    <s v="R008"/>
    <x v="2"/>
    <x v="2"/>
    <x v="7"/>
    <n v="40"/>
    <n v="4.3"/>
    <n v="2379"/>
    <s v="Delivered"/>
    <s v="Roma Kitchen"/>
    <s v="Italian"/>
    <n v="1"/>
  </r>
  <r>
    <s v="ORD039"/>
    <s v="R009"/>
    <x v="2"/>
    <x v="3"/>
    <x v="8"/>
    <n v="47"/>
    <n v="4.5999999999999996"/>
    <n v="2516"/>
    <s v="Delivered"/>
    <s v="Bella Italia"/>
    <s v="Italian"/>
    <n v="0"/>
  </r>
  <r>
    <s v="ORD040"/>
    <s v="R010"/>
    <x v="3"/>
    <x v="4"/>
    <x v="9"/>
    <n v="27"/>
    <n v="4.9000000000000004"/>
    <n v="2653"/>
    <s v="Delivered"/>
    <s v="Mexican Fiesta"/>
    <s v="Mexican"/>
    <n v="1"/>
  </r>
  <r>
    <s v="ORD041"/>
    <s v="R011"/>
    <x v="3"/>
    <x v="0"/>
    <x v="10"/>
    <n v="34"/>
    <n v="3.5"/>
    <n v="2790"/>
    <s v="Delivered"/>
    <s v="Taco Town"/>
    <s v="Mexican"/>
    <n v="1"/>
  </r>
  <r>
    <s v="ORD042"/>
    <s v="R012"/>
    <x v="3"/>
    <x v="1"/>
    <x v="11"/>
    <n v="41"/>
    <n v="3.8"/>
    <n v="2927"/>
    <s v="Delivered"/>
    <s v="Casa Mexicana"/>
    <s v="Mexican"/>
    <n v="0"/>
  </r>
  <r>
    <s v="ORD043"/>
    <s v="R013"/>
    <x v="0"/>
    <x v="3"/>
    <x v="12"/>
    <n v="48"/>
    <n v="4.0999999999999996"/>
    <n v="3064"/>
    <s v="Delivered"/>
    <s v="Masala House"/>
    <s v="Indian"/>
    <n v="0"/>
  </r>
  <r>
    <s v="ORD044"/>
    <s v="R014"/>
    <x v="1"/>
    <x v="2"/>
    <x v="13"/>
    <n v="28"/>
    <n v="4.4000000000000004"/>
    <n v="3201"/>
    <s v="Delivered"/>
    <s v="Wok Express"/>
    <s v="Chinese"/>
    <n v="1"/>
  </r>
  <r>
    <s v="ORD045"/>
    <s v="R015"/>
    <x v="2"/>
    <x v="4"/>
    <x v="14"/>
    <n v="35"/>
    <n v="4.7"/>
    <n v="3338"/>
    <s v="Delivered"/>
    <s v="Pasta Street"/>
    <s v="Italian"/>
    <n v="1"/>
  </r>
  <r>
    <s v="ORD046"/>
    <s v="R001"/>
    <x v="0"/>
    <x v="0"/>
    <x v="15"/>
    <n v="42"/>
    <n v="3.3"/>
    <n v="3475"/>
    <s v="Delivered"/>
    <s v="Spice Villa"/>
    <s v="Indian"/>
    <n v="0"/>
  </r>
  <r>
    <s v="ORD047"/>
    <s v="R002"/>
    <x v="0"/>
    <x v="1"/>
    <x v="16"/>
    <n v="49"/>
    <n v="3.6"/>
    <n v="472"/>
    <s v="Delivered"/>
    <s v="Tandoori Tales"/>
    <s v="Indian"/>
    <n v="0"/>
  </r>
  <r>
    <s v="ORD048"/>
    <s v="R003"/>
    <x v="0"/>
    <x v="2"/>
    <x v="17"/>
    <n v="29"/>
    <n v="3.9"/>
    <n v="609"/>
    <s v="Delivered"/>
    <s v="Curry Corner"/>
    <s v="Indian"/>
    <n v="1"/>
  </r>
  <r>
    <s v="ORD049"/>
    <s v="R004"/>
    <x v="1"/>
    <x v="3"/>
    <x v="18"/>
    <n v="36"/>
    <n v="4.2"/>
    <n v="746"/>
    <s v="Delivered"/>
    <s v="Urban Wok"/>
    <s v="Chinese"/>
    <n v="1"/>
  </r>
  <r>
    <s v="ORD050"/>
    <s v="R005"/>
    <x v="1"/>
    <x v="4"/>
    <x v="19"/>
    <n v="43"/>
    <n v="4.5"/>
    <n v="883"/>
    <s v="Delivered"/>
    <s v="Dragon Bowl"/>
    <s v="Chinese"/>
    <n v="0"/>
  </r>
  <r>
    <s v="ORD051"/>
    <s v="R006"/>
    <x v="1"/>
    <x v="0"/>
    <x v="20"/>
    <n v="23"/>
    <n v="4.8"/>
    <n v="1020"/>
    <s v="Delivered"/>
    <s v="Golden Wok"/>
    <s v="Chinese"/>
    <n v="1"/>
  </r>
  <r>
    <s v="ORD052"/>
    <s v="R007"/>
    <x v="2"/>
    <x v="1"/>
    <x v="21"/>
    <n v="30"/>
    <n v="3.4"/>
    <n v="1157"/>
    <s v="Delivered"/>
    <s v="Pasta Palace"/>
    <s v="Italian"/>
    <n v="1"/>
  </r>
  <r>
    <s v="ORD053"/>
    <s v="R008"/>
    <x v="2"/>
    <x v="2"/>
    <x v="22"/>
    <n v="37"/>
    <n v="3.7"/>
    <n v="1294"/>
    <s v="Delivered"/>
    <s v="Roma Kitchen"/>
    <s v="Italian"/>
    <n v="1"/>
  </r>
  <r>
    <s v="ORD054"/>
    <s v="R009"/>
    <x v="2"/>
    <x v="3"/>
    <x v="23"/>
    <n v="44"/>
    <n v="4"/>
    <n v="1431"/>
    <s v="Delivered"/>
    <s v="Bella Italia"/>
    <s v="Italian"/>
    <n v="0"/>
  </r>
  <r>
    <s v="ORD055"/>
    <s v="R010"/>
    <x v="3"/>
    <x v="4"/>
    <x v="24"/>
    <n v="24"/>
    <n v="4.3"/>
    <n v="1568"/>
    <s v="Delivered"/>
    <s v="Mexican Fiesta"/>
    <s v="Mexican"/>
    <n v="1"/>
  </r>
  <r>
    <s v="ORD056"/>
    <s v="R011"/>
    <x v="3"/>
    <x v="0"/>
    <x v="25"/>
    <n v="31"/>
    <n v="4.5999999999999996"/>
    <n v="1705"/>
    <s v="Delivered"/>
    <s v="Taco Town"/>
    <s v="Mexican"/>
    <n v="1"/>
  </r>
  <r>
    <s v="ORD057"/>
    <s v="R012"/>
    <x v="3"/>
    <x v="1"/>
    <x v="26"/>
    <n v="38"/>
    <n v="4.9000000000000004"/>
    <n v="1842"/>
    <s v="Delivered"/>
    <s v="Casa Mexicana"/>
    <s v="Mexican"/>
    <n v="1"/>
  </r>
  <r>
    <s v="ORD058"/>
    <s v="R013"/>
    <x v="0"/>
    <x v="3"/>
    <x v="27"/>
    <n v="45"/>
    <n v="3.5"/>
    <n v="1979"/>
    <s v="Delivered"/>
    <s v="Masala House"/>
    <s v="Indian"/>
    <n v="0"/>
  </r>
  <r>
    <s v="ORD059"/>
    <s v="R014"/>
    <x v="1"/>
    <x v="2"/>
    <x v="28"/>
    <n v="25"/>
    <n v="3.8"/>
    <n v="2116"/>
    <s v="Delivered"/>
    <s v="Wok Express"/>
    <s v="Chinese"/>
    <n v="1"/>
  </r>
  <r>
    <s v="ORD060"/>
    <s v="R015"/>
    <x v="2"/>
    <x v="4"/>
    <x v="29"/>
    <n v="32"/>
    <n v="4.0999999999999996"/>
    <n v="2253"/>
    <s v="Delivered"/>
    <s v="Pasta Street"/>
    <s v="Italian"/>
    <n v="1"/>
  </r>
  <r>
    <s v="ORD061"/>
    <s v="R001"/>
    <x v="0"/>
    <x v="0"/>
    <x v="0"/>
    <n v="39"/>
    <n v="4.4000000000000004"/>
    <n v="2390"/>
    <s v="Delivered"/>
    <s v="Spice Villa"/>
    <s v="Indian"/>
    <n v="1"/>
  </r>
  <r>
    <s v="ORD062"/>
    <s v="R002"/>
    <x v="0"/>
    <x v="1"/>
    <x v="1"/>
    <n v="46"/>
    <n v="4.7"/>
    <n v="2527"/>
    <s v="Delivered"/>
    <s v="Tandoori Tales"/>
    <s v="Indian"/>
    <n v="0"/>
  </r>
  <r>
    <s v="ORD063"/>
    <s v="R003"/>
    <x v="0"/>
    <x v="2"/>
    <x v="2"/>
    <n v="26"/>
    <n v="3.3"/>
    <n v="2664"/>
    <s v="Delivered"/>
    <s v="Curry Corner"/>
    <s v="Indian"/>
    <n v="1"/>
  </r>
  <r>
    <s v="ORD064"/>
    <s v="R004"/>
    <x v="1"/>
    <x v="3"/>
    <x v="3"/>
    <n v="33"/>
    <n v="3.6"/>
    <n v="2801"/>
    <s v="Delivered"/>
    <s v="Urban Wok"/>
    <s v="Chinese"/>
    <n v="1"/>
  </r>
  <r>
    <s v="ORD065"/>
    <s v="R005"/>
    <x v="1"/>
    <x v="4"/>
    <x v="4"/>
    <n v="40"/>
    <n v="3.9"/>
    <n v="2938"/>
    <s v="Delivered"/>
    <s v="Dragon Bowl"/>
    <s v="Chinese"/>
    <n v="1"/>
  </r>
  <r>
    <s v="ORD066"/>
    <s v="R006"/>
    <x v="1"/>
    <x v="0"/>
    <x v="5"/>
    <n v="47"/>
    <n v="4.2"/>
    <n v="3075"/>
    <s v="Delivered"/>
    <s v="Golden Wok"/>
    <s v="Chinese"/>
    <n v="0"/>
  </r>
  <r>
    <s v="ORD067"/>
    <s v="R007"/>
    <x v="2"/>
    <x v="1"/>
    <x v="6"/>
    <n v="27"/>
    <n v="4.5"/>
    <n v="3212"/>
    <s v="Delivered"/>
    <s v="Pasta Palace"/>
    <s v="Italian"/>
    <n v="1"/>
  </r>
  <r>
    <s v="ORD068"/>
    <s v="R008"/>
    <x v="2"/>
    <x v="2"/>
    <x v="7"/>
    <n v="34"/>
    <n v="4.8"/>
    <n v="3349"/>
    <s v="Delivered"/>
    <s v="Roma Kitchen"/>
    <s v="Italian"/>
    <n v="1"/>
  </r>
  <r>
    <s v="ORD069"/>
    <s v="R009"/>
    <x v="2"/>
    <x v="3"/>
    <x v="8"/>
    <n v="41"/>
    <n v="3.4"/>
    <n v="3486"/>
    <s v="Delivered"/>
    <s v="Bella Italia"/>
    <s v="Italian"/>
    <n v="0"/>
  </r>
  <r>
    <s v="ORD070"/>
    <s v="R010"/>
    <x v="3"/>
    <x v="4"/>
    <x v="9"/>
    <n v="48"/>
    <n v="3.7"/>
    <n v="483"/>
    <s v="Delayed"/>
    <s v="Mexican Fiesta"/>
    <s v="Mexican"/>
    <n v="0"/>
  </r>
  <r>
    <s v="ORD071"/>
    <s v="R011"/>
    <x v="3"/>
    <x v="0"/>
    <x v="10"/>
    <n v="28"/>
    <n v="4"/>
    <n v="620"/>
    <s v="Delivered"/>
    <s v="Taco Town"/>
    <s v="Mexican"/>
    <n v="1"/>
  </r>
  <r>
    <s v="ORD072"/>
    <s v="R012"/>
    <x v="3"/>
    <x v="1"/>
    <x v="11"/>
    <n v="35"/>
    <n v="4.3"/>
    <n v="757"/>
    <s v="Delivered"/>
    <s v="Casa Mexicana"/>
    <s v="Mexican"/>
    <n v="1"/>
  </r>
  <r>
    <s v="ORD073"/>
    <s v="R013"/>
    <x v="0"/>
    <x v="3"/>
    <x v="12"/>
    <n v="42"/>
    <n v="4.5999999999999996"/>
    <n v="894"/>
    <s v="Delivered"/>
    <s v="Masala House"/>
    <s v="Indian"/>
    <n v="0"/>
  </r>
  <r>
    <s v="ORD074"/>
    <s v="R014"/>
    <x v="1"/>
    <x v="2"/>
    <x v="13"/>
    <n v="49"/>
    <n v="4.9000000000000004"/>
    <n v="1031"/>
    <s v="Delivered"/>
    <s v="Wok Express"/>
    <s v="Chinese"/>
    <n v="0"/>
  </r>
  <r>
    <s v="ORD075"/>
    <s v="R015"/>
    <x v="2"/>
    <x v="4"/>
    <x v="14"/>
    <n v="29"/>
    <n v="3.5"/>
    <n v="1168"/>
    <s v="Delivered"/>
    <s v="Pasta Street"/>
    <s v="Italian"/>
    <n v="1"/>
  </r>
  <r>
    <s v="ORD076"/>
    <s v="R001"/>
    <x v="0"/>
    <x v="0"/>
    <x v="15"/>
    <n v="36"/>
    <n v="3.8"/>
    <n v="1305"/>
    <s v="Delivered"/>
    <s v="Spice Villa"/>
    <s v="Indian"/>
    <n v="1"/>
  </r>
  <r>
    <s v="ORD077"/>
    <s v="R002"/>
    <x v="0"/>
    <x v="1"/>
    <x v="16"/>
    <n v="43"/>
    <n v="4.0999999999999996"/>
    <n v="1442"/>
    <s v="Delivered"/>
    <s v="Tandoori Tales"/>
    <s v="Indian"/>
    <n v="0"/>
  </r>
  <r>
    <s v="ORD078"/>
    <s v="R003"/>
    <x v="0"/>
    <x v="2"/>
    <x v="17"/>
    <n v="23"/>
    <n v="4.4000000000000004"/>
    <n v="1579"/>
    <s v="Delivered"/>
    <s v="Curry Corner"/>
    <s v="Indian"/>
    <n v="1"/>
  </r>
  <r>
    <s v="ORD079"/>
    <s v="R004"/>
    <x v="1"/>
    <x v="3"/>
    <x v="18"/>
    <n v="30"/>
    <n v="4.7"/>
    <n v="1716"/>
    <s v="Delivered"/>
    <s v="Urban Wok"/>
    <s v="Chinese"/>
    <n v="1"/>
  </r>
  <r>
    <s v="ORD080"/>
    <s v="R005"/>
    <x v="1"/>
    <x v="4"/>
    <x v="19"/>
    <n v="37"/>
    <n v="3.3"/>
    <n v="1853"/>
    <s v="Delivered"/>
    <s v="Dragon Bowl"/>
    <s v="Chinese"/>
    <n v="1"/>
  </r>
  <r>
    <s v="ORD081"/>
    <s v="R006"/>
    <x v="1"/>
    <x v="0"/>
    <x v="20"/>
    <n v="44"/>
    <n v="3.6"/>
    <n v="1990"/>
    <s v="Delivered"/>
    <s v="Golden Wok"/>
    <s v="Chinese"/>
    <n v="0"/>
  </r>
  <r>
    <s v="ORD082"/>
    <s v="R007"/>
    <x v="2"/>
    <x v="1"/>
    <x v="21"/>
    <n v="24"/>
    <n v="3.9"/>
    <n v="2127"/>
    <s v="Delivered"/>
    <s v="Pasta Palace"/>
    <s v="Italian"/>
    <n v="1"/>
  </r>
  <r>
    <s v="ORD083"/>
    <s v="R008"/>
    <x v="2"/>
    <x v="2"/>
    <x v="22"/>
    <n v="31"/>
    <n v="4.2"/>
    <n v="2264"/>
    <s v="Delivered"/>
    <s v="Roma Kitchen"/>
    <s v="Italian"/>
    <n v="1"/>
  </r>
  <r>
    <s v="ORD084"/>
    <s v="R009"/>
    <x v="2"/>
    <x v="3"/>
    <x v="23"/>
    <n v="38"/>
    <n v="4.5"/>
    <n v="2401"/>
    <s v="Delivered"/>
    <s v="Bella Italia"/>
    <s v="Italian"/>
    <n v="1"/>
  </r>
  <r>
    <s v="ORD085"/>
    <s v="R010"/>
    <x v="3"/>
    <x v="4"/>
    <x v="24"/>
    <n v="45"/>
    <n v="4.8"/>
    <n v="2538"/>
    <s v="Delivered"/>
    <s v="Mexican Fiesta"/>
    <s v="Mexican"/>
    <n v="0"/>
  </r>
  <r>
    <s v="ORD086"/>
    <s v="R011"/>
    <x v="3"/>
    <x v="0"/>
    <x v="25"/>
    <n v="25"/>
    <n v="3.4"/>
    <n v="2675"/>
    <s v="Delivered"/>
    <s v="Taco Town"/>
    <s v="Mexican"/>
    <n v="1"/>
  </r>
  <r>
    <s v="ORD087"/>
    <s v="R012"/>
    <x v="3"/>
    <x v="1"/>
    <x v="26"/>
    <n v="32"/>
    <n v="3.7"/>
    <n v="2812"/>
    <s v="Delivered"/>
    <s v="Casa Mexicana"/>
    <s v="Mexican"/>
    <n v="1"/>
  </r>
  <r>
    <s v="ORD088"/>
    <s v="R013"/>
    <x v="0"/>
    <x v="3"/>
    <x v="27"/>
    <n v="39"/>
    <n v="4"/>
    <n v="2949"/>
    <s v="Delivered"/>
    <s v="Masala House"/>
    <s v="Indian"/>
    <n v="1"/>
  </r>
  <r>
    <s v="ORD089"/>
    <s v="R014"/>
    <x v="1"/>
    <x v="2"/>
    <x v="28"/>
    <n v="46"/>
    <n v="4.3"/>
    <n v="3086"/>
    <s v="Delivered"/>
    <s v="Wok Express"/>
    <s v="Chinese"/>
    <n v="0"/>
  </r>
  <r>
    <s v="ORD090"/>
    <s v="R015"/>
    <x v="2"/>
    <x v="4"/>
    <x v="29"/>
    <n v="26"/>
    <n v="4.5999999999999996"/>
    <n v="3223"/>
    <s v="Delivered"/>
    <s v="Pasta Street"/>
    <s v="Italian"/>
    <n v="1"/>
  </r>
  <r>
    <s v="ORD091"/>
    <s v="R001"/>
    <x v="0"/>
    <x v="0"/>
    <x v="0"/>
    <n v="33"/>
    <n v="4.9000000000000004"/>
    <n v="3360"/>
    <s v="Delivered"/>
    <s v="Spice Villa"/>
    <s v="Indian"/>
    <n v="1"/>
  </r>
  <r>
    <s v="ORD092"/>
    <s v="R002"/>
    <x v="0"/>
    <x v="1"/>
    <x v="1"/>
    <n v="40"/>
    <n v="3.5"/>
    <n v="3497"/>
    <s v="Delivered"/>
    <s v="Tandoori Tales"/>
    <s v="Indian"/>
    <n v="1"/>
  </r>
  <r>
    <s v="ORD093"/>
    <s v="R003"/>
    <x v="0"/>
    <x v="2"/>
    <x v="2"/>
    <n v="47"/>
    <n v="3.8"/>
    <n v="504"/>
    <s v="Delivered"/>
    <s v="Curry Corner"/>
    <s v="Indian"/>
    <n v="0"/>
  </r>
  <r>
    <s v="ORD094"/>
    <s v="R004"/>
    <x v="1"/>
    <x v="3"/>
    <x v="3"/>
    <n v="27"/>
    <n v="4.0999999999999996"/>
    <n v="641"/>
    <s v="Delivered"/>
    <s v="Urban Wok"/>
    <s v="Chinese"/>
    <n v="1"/>
  </r>
  <r>
    <s v="ORD095"/>
    <s v="R005"/>
    <x v="1"/>
    <x v="4"/>
    <x v="4"/>
    <n v="34"/>
    <n v="4.4000000000000004"/>
    <n v="778"/>
    <s v="Delivered"/>
    <s v="Dragon Bowl"/>
    <s v="Chinese"/>
    <n v="1"/>
  </r>
  <r>
    <s v="ORD096"/>
    <s v="R006"/>
    <x v="1"/>
    <x v="0"/>
    <x v="5"/>
    <n v="41"/>
    <n v="4.7"/>
    <n v="915"/>
    <s v="Delivered"/>
    <s v="Golden Wok"/>
    <s v="Chinese"/>
    <n v="0"/>
  </r>
  <r>
    <s v="ORD097"/>
    <s v="R007"/>
    <x v="2"/>
    <x v="1"/>
    <x v="6"/>
    <n v="48"/>
    <n v="3.3"/>
    <n v="1052"/>
    <s v="Delivered"/>
    <s v="Pasta Palace"/>
    <s v="Italian"/>
    <n v="0"/>
  </r>
  <r>
    <s v="ORD098"/>
    <s v="R008"/>
    <x v="2"/>
    <x v="2"/>
    <x v="7"/>
    <n v="28"/>
    <n v="3.6"/>
    <n v="1189"/>
    <s v="Delivered"/>
    <s v="Roma Kitchen"/>
    <s v="Italian"/>
    <n v="1"/>
  </r>
  <r>
    <s v="ORD099"/>
    <s v="R009"/>
    <x v="2"/>
    <x v="3"/>
    <x v="8"/>
    <n v="35"/>
    <n v="3.9"/>
    <n v="1326"/>
    <s v="Delivered"/>
    <s v="Bella Italia"/>
    <s v="Italian"/>
    <n v="1"/>
  </r>
  <r>
    <s v="ORD100"/>
    <s v="R010"/>
    <x v="3"/>
    <x v="4"/>
    <x v="9"/>
    <n v="42"/>
    <n v="4.2"/>
    <n v="1463"/>
    <s v="Delivered"/>
    <s v="Mexican Fiesta"/>
    <s v="Mexican"/>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16D7F3-513F-4FFA-BBFD-F208E92BCB7C}" name="PivotTable3"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I3:O9" firstHeaderRow="1" firstDataRow="2" firstDataCol="1"/>
  <pivotFields count="13">
    <pivotField showAll="0"/>
    <pivotField showAll="0"/>
    <pivotField axis="axisRow" showAll="0">
      <items count="5">
        <item x="1"/>
        <item x="0"/>
        <item x="2"/>
        <item x="3"/>
        <item t="default"/>
      </items>
    </pivotField>
    <pivotField axis="axisCol" showAll="0">
      <items count="6">
        <item x="1"/>
        <item x="3"/>
        <item x="2"/>
        <item x="4"/>
        <item x="0"/>
        <item t="default"/>
      </items>
    </pivotField>
    <pivotField numFmtId="15"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pivotField showAll="0"/>
    <pivotField showAll="0" defaultSubtotal="0"/>
  </pivotFields>
  <rowFields count="1">
    <field x="2"/>
  </rowFields>
  <rowItems count="5">
    <i>
      <x/>
    </i>
    <i>
      <x v="1"/>
    </i>
    <i>
      <x v="2"/>
    </i>
    <i>
      <x v="3"/>
    </i>
    <i t="grand">
      <x/>
    </i>
  </rowItems>
  <colFields count="1">
    <field x="3"/>
  </colFields>
  <colItems count="6">
    <i>
      <x/>
    </i>
    <i>
      <x v="1"/>
    </i>
    <i>
      <x v="2"/>
    </i>
    <i>
      <x v="3"/>
    </i>
    <i>
      <x v="4"/>
    </i>
    <i t="grand">
      <x/>
    </i>
  </colItems>
  <dataFields count="1">
    <dataField name="Average of Rating" fld="6" subtotal="average" baseField="2" baseItem="0"/>
  </dataFields>
  <formats count="1">
    <format dxfId="85">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860E51-FA49-4D71-8F0C-2D91B306180C}" name="PivotTable1"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8">
  <location ref="A3:G9" firstHeaderRow="1" firstDataRow="2" firstDataCol="1"/>
  <pivotFields count="13">
    <pivotField showAll="0"/>
    <pivotField showAll="0"/>
    <pivotField axis="axisRow" showAll="0">
      <items count="5">
        <item x="1"/>
        <item x="0"/>
        <item x="2"/>
        <item x="3"/>
        <item t="default"/>
      </items>
    </pivotField>
    <pivotField axis="axisCol" showAll="0">
      <items count="6">
        <item x="1"/>
        <item x="3"/>
        <item x="2"/>
        <item x="4"/>
        <item x="0"/>
        <item t="default"/>
      </items>
    </pivotField>
    <pivotField numFmtId="15"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 showAll="0"/>
    <pivotField showAll="0">
      <items count="7">
        <item x="0"/>
        <item x="1"/>
        <item x="2"/>
        <item x="3"/>
        <item x="4"/>
        <item x="5"/>
        <item t="default"/>
      </items>
    </pivotField>
  </pivotFields>
  <rowFields count="1">
    <field x="2"/>
  </rowFields>
  <rowItems count="5">
    <i>
      <x/>
    </i>
    <i>
      <x v="1"/>
    </i>
    <i>
      <x v="2"/>
    </i>
    <i>
      <x v="3"/>
    </i>
    <i t="grand">
      <x/>
    </i>
  </rowItems>
  <colFields count="1">
    <field x="3"/>
  </colFields>
  <colItems count="6">
    <i>
      <x/>
    </i>
    <i>
      <x v="1"/>
    </i>
    <i>
      <x v="2"/>
    </i>
    <i>
      <x v="3"/>
    </i>
    <i>
      <x v="4"/>
    </i>
    <i t="grand">
      <x/>
    </i>
  </colItems>
  <dataFields count="1">
    <dataField name="Sum of Revenue" fld="7" baseField="0" baseItem="0"/>
  </dataFields>
  <chartFormats count="12">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7" format="10" series="1">
      <pivotArea type="data" outline="0" fieldPosition="0">
        <references count="2">
          <reference field="4294967294" count="1" selected="0">
            <x v="0"/>
          </reference>
          <reference field="3" count="1" selected="0">
            <x v="0"/>
          </reference>
        </references>
      </pivotArea>
    </chartFormat>
    <chartFormat chart="7" format="11" series="1">
      <pivotArea type="data" outline="0" fieldPosition="0">
        <references count="2">
          <reference field="4294967294" count="1" selected="0">
            <x v="0"/>
          </reference>
          <reference field="3" count="1" selected="0">
            <x v="1"/>
          </reference>
        </references>
      </pivotArea>
    </chartFormat>
    <chartFormat chart="7" format="12" series="1">
      <pivotArea type="data" outline="0" fieldPosition="0">
        <references count="2">
          <reference field="4294967294" count="1" selected="0">
            <x v="0"/>
          </reference>
          <reference field="3" count="1" selected="0">
            <x v="2"/>
          </reference>
        </references>
      </pivotArea>
    </chartFormat>
    <chartFormat chart="7" format="13" series="1">
      <pivotArea type="data" outline="0" fieldPosition="0">
        <references count="2">
          <reference field="4294967294" count="1" selected="0">
            <x v="0"/>
          </reference>
          <reference field="3" count="1" selected="0">
            <x v="3"/>
          </reference>
        </references>
      </pivotArea>
    </chartFormat>
    <chartFormat chart="7" format="14" series="1">
      <pivotArea type="data" outline="0" fieldPosition="0">
        <references count="2">
          <reference field="4294967294" count="1" selected="0">
            <x v="0"/>
          </reference>
          <reference field="3" count="1" selected="0">
            <x v="4"/>
          </reference>
        </references>
      </pivotArea>
    </chartFormat>
    <chartFormat chart="7" format="15"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DC3825-249D-41FF-AC76-67260D3B2559}" name="PivotTable5"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K1:L2" firstHeaderRow="0" firstDataRow="1" firstDataCol="0"/>
  <pivotFields count="13">
    <pivotField dataField="1" showAll="0"/>
    <pivotField showAll="0"/>
    <pivotField showAll="0"/>
    <pivotField showAll="0">
      <items count="6">
        <item x="1"/>
        <item x="3"/>
        <item x="2"/>
        <item x="4"/>
        <item x="0"/>
        <item t="default"/>
      </items>
    </pivotField>
    <pivotField numFmtId="1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defaultSubtotal="0"/>
  </pivotFields>
  <rowItems count="1">
    <i/>
  </rowItems>
  <colFields count="1">
    <field x="-2"/>
  </colFields>
  <colItems count="2">
    <i>
      <x/>
    </i>
    <i i="1">
      <x v="1"/>
    </i>
  </colItems>
  <dataFields count="2">
    <dataField name="Sum of Fast Delivery" fld="11" baseField="0" baseItem="0"/>
    <dataField name="Count of OrderID" fld="0" subtotal="count" baseField="0" baseItem="0"/>
  </dataFields>
  <formats count="6">
    <format dxfId="82">
      <pivotArea type="all" dataOnly="0" outline="0" fieldPosition="0"/>
    </format>
    <format dxfId="81">
      <pivotArea outline="0" collapsedLevelsAreSubtotals="1" fieldPosition="0"/>
    </format>
    <format dxfId="80">
      <pivotArea dataOnly="0" labelOnly="1" outline="0" fieldPosition="0">
        <references count="1">
          <reference field="4294967294" count="2">
            <x v="0"/>
            <x v="1"/>
          </reference>
        </references>
      </pivotArea>
    </format>
    <format dxfId="79">
      <pivotArea type="all" dataOnly="0" outline="0" fieldPosition="0"/>
    </format>
    <format dxfId="78">
      <pivotArea outline="0" collapsedLevelsAreSubtotals="1" fieldPosition="0"/>
    </format>
    <format dxfId="7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DA46B5-BFFD-4E17-8C43-3AE8B24959C9}" name="PivotTable2"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1:B6" firstHeaderRow="1" firstDataRow="1" firstDataCol="1"/>
  <pivotFields count="13">
    <pivotField dataField="1" showAll="0"/>
    <pivotField showAll="0"/>
    <pivotField showAll="0"/>
    <pivotField showAll="0">
      <items count="6">
        <item x="1"/>
        <item x="3"/>
        <item x="2"/>
        <item x="4"/>
        <item x="0"/>
        <item t="default"/>
      </items>
    </pivotField>
    <pivotField axis="axisRow" numFmtId="1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Row" showAll="0">
      <items count="7">
        <item x="0"/>
        <item x="1"/>
        <item x="2"/>
        <item x="3"/>
        <item x="4"/>
        <item x="5"/>
        <item t="default"/>
      </items>
    </pivotField>
  </pivotFields>
  <rowFields count="2">
    <field x="12"/>
    <field x="4"/>
  </rowFields>
  <rowItems count="5">
    <i>
      <x v="1"/>
    </i>
    <i r="1">
      <x v="1"/>
    </i>
    <i r="1">
      <x v="2"/>
    </i>
    <i r="1">
      <x v="3"/>
    </i>
    <i t="grand">
      <x/>
    </i>
  </rowItems>
  <colItems count="1">
    <i/>
  </colItems>
  <dataFields count="1">
    <dataField name="Count of Order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124CA87B-5E8F-4BCC-8AD8-C61BF092E76D}" sourceName="Zone">
  <pivotTables>
    <pivotTable tabId="5" name="PivotTable1"/>
    <pivotTable tabId="6" name="PivotTable2"/>
    <pivotTable tabId="5" name="PivotTable3"/>
    <pivotTable tabId="6" name="PivotTable5"/>
  </pivotTables>
  <data>
    <tabular pivotCacheId="1079517768">
      <items count="5">
        <i x="1" s="1"/>
        <i x="3"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7A30F384-38FE-4E79-B809-3ED6F686345F}" cache="Slicer_Zone" caption="Zon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1" xr10:uid="{2AD7596E-0B76-4613-8E7F-3C46062B332D}" cache="Slicer_Zone" caption="Zone" columnCount="5"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8364F5-7414-4D69-B089-CC365CCC091E}" name="Table1" displayName="Table1" ref="A1:L101" totalsRowShown="0" headerRowDxfId="111" dataDxfId="124" headerRowBorderDxfId="122" tableBorderDxfId="123" totalsRowBorderDxfId="121">
  <autoFilter ref="A1:L101" xr:uid="{A88364F5-7414-4D69-B089-CC365CCC091E}"/>
  <tableColumns count="12">
    <tableColumn id="1" xr3:uid="{0E2AAEF5-49E0-4352-BB92-9E27D82A8F5D}" name="OrderID" dataDxfId="120"/>
    <tableColumn id="2" xr3:uid="{2B456974-C424-4EB4-AF67-85626456534B}" name="RestaurantID" dataDxfId="119"/>
    <tableColumn id="3" xr3:uid="{081BAE54-788C-4BB3-959A-C40FA301C480}" name="Cuisine" dataDxfId="118"/>
    <tableColumn id="4" xr3:uid="{57097B32-71D9-4FBE-A5E2-C71E11FDC8B2}" name="Zone" dataDxfId="117"/>
    <tableColumn id="5" xr3:uid="{F130D086-378F-431B-85DB-3020B5C926B7}" name="OrderDate" dataDxfId="116"/>
    <tableColumn id="6" xr3:uid="{A0A392AF-A971-43AA-9540-111B37AA2FF4}" name="DeliveryTime" dataDxfId="115"/>
    <tableColumn id="7" xr3:uid="{8694AE61-0DF9-433A-B672-52EC09D3A22F}" name="Rating" dataDxfId="114"/>
    <tableColumn id="8" xr3:uid="{92CB26AF-7047-4BB2-9B01-0795E3B1CBCF}" name="Revenue" dataDxfId="113"/>
    <tableColumn id="9" xr3:uid="{F29CD59E-4FF1-40E0-8A37-71EA04CFED96}" name="Status" dataDxfId="112"/>
    <tableColumn id="10" xr3:uid="{7DC3DBF7-D445-41F3-BC3F-087C8E15EACE}" name="RestaurantName" dataDxfId="101">
      <calculatedColumnFormula>IFERROR(_xlfn.XLOOKUP(Table1[[#This Row],[RestaurantID]],Table2[RestaurantID],Table2[RestaurantName]),"Unknown")</calculatedColumnFormula>
    </tableColumn>
    <tableColumn id="11" xr3:uid="{89D1D0A9-F60E-403E-ADC1-ECDCBF9BD085}" name="Category" dataDxfId="100">
      <calculatedColumnFormula>IFERROR(_xlfn.XLOOKUP(Table1[[#This Row],[RestaurantID]],Table2[RestaurantID],Table2[Category]),"Unknown")</calculatedColumnFormula>
    </tableColumn>
    <tableColumn id="12" xr3:uid="{9B013F8B-245D-45E5-98D5-7466A100D37F}" name="Fast Delivery" dataDxfId="86">
      <calculatedColumnFormula>IF(AND(Table1[[#This Row],[Status]]="Delivered",F2&lt;=40),1,0)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546309-8055-4EA2-A968-AAA2CBA01182}" name="Table2" displayName="Table2" ref="A1:D16" totalsRowShown="0" headerRowDxfId="102" dataDxfId="110" headerRowBorderDxfId="108" tableBorderDxfId="109" totalsRowBorderDxfId="107">
  <autoFilter ref="A1:D16" xr:uid="{84546309-8055-4EA2-A968-AAA2CBA01182}"/>
  <tableColumns count="4">
    <tableColumn id="1" xr3:uid="{0A38E28E-5337-4113-A2F9-FF2CA91FEB72}" name="RestaurantID" dataDxfId="106"/>
    <tableColumn id="2" xr3:uid="{383FBDAF-0CBA-455F-969F-C1F565990EB3}" name="RestaurantName" dataDxfId="105"/>
    <tableColumn id="3" xr3:uid="{BF1FEA44-92D4-4DB2-84BA-2B82D3C7B6F9}" name="Category" dataDxfId="104"/>
    <tableColumn id="4" xr3:uid="{F31C7952-DFAB-4BF6-ACE9-F7147333E97C}" name="Zone" dataDxfId="10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BE15D1-A1F8-4A58-85D0-BF4EA8DEC328}" name="Table3" displayName="Table3" ref="A1:H6" totalsRowShown="0" headerRowDxfId="94" dataDxfId="93" headerRowBorderDxfId="98" tableBorderDxfId="99" totalsRowBorderDxfId="97">
  <autoFilter ref="A1:H6" xr:uid="{9FBE15D1-A1F8-4A58-85D0-BF4EA8DEC328}"/>
  <tableColumns count="8">
    <tableColumn id="1" xr3:uid="{539EB63A-BD86-437C-9F67-3222512C776B}" name="Zone" dataDxfId="96"/>
    <tableColumn id="2" xr3:uid="{AB0CCE6B-E1B0-4315-ABB7-AFB75F3F8D33}" name="Mean DeliveryTime" dataDxfId="95">
      <calculatedColumnFormula>AVERAGEIF(Table1[Zone],Table3[[#This Row],[Zone]],Table1[DeliveryTime])</calculatedColumnFormula>
    </tableColumn>
    <tableColumn id="3" xr3:uid="{90B23FB0-0391-4776-AC17-5C34BC7E5470}" name="Median DeliveryTime" dataDxfId="92">
      <calculatedColumnFormula array="1">MEDIAN(_xlfn._xlws.FILTER(Table1[DeliveryTime],Table1[Zone]=Table3[[#This Row],[Zone]]))</calculatedColumnFormula>
    </tableColumn>
    <tableColumn id="4" xr3:uid="{8E1F9601-7A4E-4516-ABFE-45D8EFFD46B4}" name="Std Dev DeliveryTime" dataDxfId="91">
      <calculatedColumnFormula array="1">_xlfn.STDEV.S(_xlfn._xlws.FILTER(Table1[DeliveryTime],Table1[Zone]=Table3[[#This Row],[Zone]]))</calculatedColumnFormula>
    </tableColumn>
    <tableColumn id="5" xr3:uid="{5707EB28-A514-4EEF-A3EA-B58A2BE0C980}" name="Mean Revenue" dataDxfId="90">
      <calculatedColumnFormula>AVERAGEIF(Table1[Zone],Table3[[#This Row],[Zone]],'Orders Sheet'!H:H)</calculatedColumnFormula>
    </tableColumn>
    <tableColumn id="6" xr3:uid="{75B7D3B5-93F1-452F-94DF-845F5E7BB869}" name="Median Revenue" dataDxfId="89">
      <calculatedColumnFormula array="1">MEDIAN(_xlfn._xlws.FILTER(Table1[Revenue],Table1[Zone]=Table3[[#This Row],[Zone]]))</calculatedColumnFormula>
    </tableColumn>
    <tableColumn id="7" xr3:uid="{5814F741-38F7-4646-BC28-BF9C0E1FD325}" name="Std Dev Revenue" dataDxfId="88">
      <calculatedColumnFormula array="1">_xlfn.STDEV.S(_xlfn._xlws.FILTER(Table1[Revenue],Table1[Zone]=Table3[[#This Row],[Zone]]))</calculatedColumnFormula>
    </tableColumn>
    <tableColumn id="8" xr3:uid="{E48B530B-0793-4557-AFE7-BD6509294F71}" name="Delivery Flag" dataDxfId="87">
      <calculatedColumnFormula>IF(Table3[[#This Row],[Mean DeliveryTime]]&gt;MEDIAN(Table1[DeliveryTime]),"Above Overall Median","Within/Below Median")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7880A5FC-742A-4FA1-842B-A2CE0A1575F9}" sourceName="OrderDate">
  <pivotTables>
    <pivotTable tabId="6" name="PivotTable2"/>
    <pivotTable tabId="5" name="PivotTable1"/>
    <pivotTable tabId="5" name="PivotTable3"/>
    <pivotTable tabId="6" name="PivotTable5"/>
  </pivotTables>
  <state minimalRefreshVersion="6" lastRefreshVersion="6" pivotCacheId="107951776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D7FC40F4-0BB5-4ED4-A77E-C68E899F75BE}" cache="NativeTimeline_OrderDate" caption="OrderDate" level="2" selectionLevel="2"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7E715C2F-0A13-489C-B35A-82038E7E3BE3}" cache="NativeTimeline_OrderDate" caption="OrderDate" level="2" selectionLevel="2" scrollPosition="2026-01-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11/relationships/timeline" Target="../timelines/timeline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699EF-47D8-4B1F-8E89-AD5019146562}">
  <dimension ref="A1:L101"/>
  <sheetViews>
    <sheetView workbookViewId="0">
      <selection sqref="A1:L101"/>
    </sheetView>
  </sheetViews>
  <sheetFormatPr defaultRowHeight="14.4" x14ac:dyDescent="0.3"/>
  <cols>
    <col min="1" max="1" width="12" bestFit="1" customWidth="1"/>
    <col min="2" max="2" width="16.33203125" bestFit="1" customWidth="1"/>
    <col min="3" max="3" width="11.44140625" bestFit="1" customWidth="1"/>
    <col min="4" max="4" width="9.6640625" bestFit="1" customWidth="1"/>
    <col min="5" max="5" width="14.109375" bestFit="1" customWidth="1"/>
    <col min="6" max="6" width="16.33203125" bestFit="1" customWidth="1"/>
    <col min="7" max="7" width="10.77734375" bestFit="1" customWidth="1"/>
    <col min="8" max="8" width="12.77734375" bestFit="1" customWidth="1"/>
    <col min="9" max="9" width="10.6640625" bestFit="1" customWidth="1"/>
    <col min="10" max="10" width="19.6640625" bestFit="1" customWidth="1"/>
    <col min="11" max="11" width="13" bestFit="1" customWidth="1"/>
    <col min="12" max="12" width="16" bestFit="1" customWidth="1"/>
  </cols>
  <sheetData>
    <row r="1" spans="1:12" x14ac:dyDescent="0.3">
      <c r="A1" s="2" t="s">
        <v>0</v>
      </c>
      <c r="B1" s="3" t="s">
        <v>1</v>
      </c>
      <c r="C1" s="3" t="s">
        <v>2</v>
      </c>
      <c r="D1" s="3" t="s">
        <v>3</v>
      </c>
      <c r="E1" s="3" t="s">
        <v>4</v>
      </c>
      <c r="F1" s="3" t="s">
        <v>5</v>
      </c>
      <c r="G1" s="3" t="s">
        <v>6</v>
      </c>
      <c r="H1" s="3" t="s">
        <v>7</v>
      </c>
      <c r="I1" s="4" t="s">
        <v>8</v>
      </c>
      <c r="J1" s="3" t="s">
        <v>135</v>
      </c>
      <c r="K1" s="3" t="s">
        <v>136</v>
      </c>
      <c r="L1" s="3" t="s">
        <v>170</v>
      </c>
    </row>
    <row r="2" spans="1:12" x14ac:dyDescent="0.3">
      <c r="A2" s="5" t="s">
        <v>9</v>
      </c>
      <c r="B2" s="6" t="s">
        <v>10</v>
      </c>
      <c r="C2" s="6" t="s">
        <v>11</v>
      </c>
      <c r="D2" s="6" t="s">
        <v>12</v>
      </c>
      <c r="E2" s="7">
        <v>46024</v>
      </c>
      <c r="F2" s="6">
        <v>24</v>
      </c>
      <c r="G2" s="6">
        <v>3.4</v>
      </c>
      <c r="H2" s="6">
        <v>450</v>
      </c>
      <c r="I2" s="8" t="s">
        <v>13</v>
      </c>
      <c r="J2" s="13" t="str">
        <f>IFERROR(_xlfn.XLOOKUP(Table1[[#This Row],[RestaurantID]],Table2[RestaurantID],Table2[RestaurantName]),"Unknown")</f>
        <v>Spice Villa</v>
      </c>
      <c r="K2" s="13" t="str">
        <f>IFERROR(_xlfn.XLOOKUP(Table1[[#This Row],[RestaurantID]],Table2[RestaurantID],Table2[Category]),"Unknown")</f>
        <v>Indian</v>
      </c>
      <c r="L2" s="1">
        <f>IF(AND(Table1[[#This Row],[Status]]="Delivered",F2&lt;=40),1,0)</f>
        <v>0</v>
      </c>
    </row>
    <row r="3" spans="1:12" x14ac:dyDescent="0.3">
      <c r="A3" s="5" t="s">
        <v>14</v>
      </c>
      <c r="B3" s="6" t="s">
        <v>15</v>
      </c>
      <c r="C3" s="6" t="s">
        <v>11</v>
      </c>
      <c r="D3" s="6" t="s">
        <v>16</v>
      </c>
      <c r="E3" s="7">
        <v>46027</v>
      </c>
      <c r="F3" s="6">
        <v>31</v>
      </c>
      <c r="G3" s="6">
        <v>3.7</v>
      </c>
      <c r="H3" s="6">
        <v>587</v>
      </c>
      <c r="I3" s="8" t="s">
        <v>17</v>
      </c>
      <c r="J3" s="6" t="str">
        <f>IFERROR(_xlfn.XLOOKUP(Table1[[#This Row],[RestaurantID]],Table2[RestaurantID],Table2[RestaurantName]),"Unknown")</f>
        <v>Tandoori Tales</v>
      </c>
      <c r="K3" s="6" t="str">
        <f>IFERROR(_xlfn.XLOOKUP(Table1[[#This Row],[RestaurantID]],Table2[RestaurantID],Table2[Category]),"Unknown")</f>
        <v>Indian</v>
      </c>
      <c r="L3" s="1">
        <f>IF(AND(Table1[[#This Row],[Status]]="Delivered",F3&lt;=40),1,0)</f>
        <v>1</v>
      </c>
    </row>
    <row r="4" spans="1:12" x14ac:dyDescent="0.3">
      <c r="A4" s="5" t="s">
        <v>18</v>
      </c>
      <c r="B4" s="6" t="s">
        <v>19</v>
      </c>
      <c r="C4" s="6" t="s">
        <v>11</v>
      </c>
      <c r="D4" s="6" t="s">
        <v>20</v>
      </c>
      <c r="E4" s="7">
        <v>46030</v>
      </c>
      <c r="F4" s="6">
        <v>38</v>
      </c>
      <c r="G4" s="6">
        <v>4</v>
      </c>
      <c r="H4" s="6">
        <v>724</v>
      </c>
      <c r="I4" s="8" t="s">
        <v>17</v>
      </c>
      <c r="J4" s="6" t="str">
        <f>IFERROR(_xlfn.XLOOKUP(Table1[[#This Row],[RestaurantID]],Table2[RestaurantID],Table2[RestaurantName]),"Unknown")</f>
        <v>Curry Corner</v>
      </c>
      <c r="K4" s="6" t="str">
        <f>IFERROR(_xlfn.XLOOKUP(Table1[[#This Row],[RestaurantID]],Table2[RestaurantID],Table2[Category]),"Unknown")</f>
        <v>Indian</v>
      </c>
      <c r="L4" s="1">
        <f>IF(AND(Table1[[#This Row],[Status]]="Delivered",F4&lt;=40),1,0)</f>
        <v>1</v>
      </c>
    </row>
    <row r="5" spans="1:12" x14ac:dyDescent="0.3">
      <c r="A5" s="5" t="s">
        <v>21</v>
      </c>
      <c r="B5" s="6" t="s">
        <v>22</v>
      </c>
      <c r="C5" s="6" t="s">
        <v>23</v>
      </c>
      <c r="D5" s="6" t="s">
        <v>24</v>
      </c>
      <c r="E5" s="7">
        <v>46033</v>
      </c>
      <c r="F5" s="6">
        <v>45</v>
      </c>
      <c r="G5" s="6">
        <v>4.3</v>
      </c>
      <c r="H5" s="6">
        <v>861</v>
      </c>
      <c r="I5" s="8" t="s">
        <v>17</v>
      </c>
      <c r="J5" s="6" t="str">
        <f>IFERROR(_xlfn.XLOOKUP(Table1[[#This Row],[RestaurantID]],Table2[RestaurantID],Table2[RestaurantName]),"Unknown")</f>
        <v>Urban Wok</v>
      </c>
      <c r="K5" s="6" t="str">
        <f>IFERROR(_xlfn.XLOOKUP(Table1[[#This Row],[RestaurantID]],Table2[RestaurantID],Table2[Category]),"Unknown")</f>
        <v>Chinese</v>
      </c>
      <c r="L5" s="1">
        <f>IF(AND(Table1[[#This Row],[Status]]="Delivered",F5&lt;=40),1,0)</f>
        <v>0</v>
      </c>
    </row>
    <row r="6" spans="1:12" x14ac:dyDescent="0.3">
      <c r="A6" s="5" t="s">
        <v>25</v>
      </c>
      <c r="B6" s="6" t="s">
        <v>26</v>
      </c>
      <c r="C6" s="6" t="s">
        <v>23</v>
      </c>
      <c r="D6" s="6" t="s">
        <v>27</v>
      </c>
      <c r="E6" s="7">
        <v>46036</v>
      </c>
      <c r="F6" s="6">
        <v>25</v>
      </c>
      <c r="G6" s="6">
        <v>4.5999999999999996</v>
      </c>
      <c r="H6" s="6">
        <v>998</v>
      </c>
      <c r="I6" s="8" t="s">
        <v>17</v>
      </c>
      <c r="J6" s="6" t="str">
        <f>IFERROR(_xlfn.XLOOKUP(Table1[[#This Row],[RestaurantID]],Table2[RestaurantID],Table2[RestaurantName]),"Unknown")</f>
        <v>Dragon Bowl</v>
      </c>
      <c r="K6" s="6" t="str">
        <f>IFERROR(_xlfn.XLOOKUP(Table1[[#This Row],[RestaurantID]],Table2[RestaurantID],Table2[Category]),"Unknown")</f>
        <v>Chinese</v>
      </c>
      <c r="L6" s="1">
        <f>IF(AND(Table1[[#This Row],[Status]]="Delivered",F6&lt;=40),1,0)</f>
        <v>1</v>
      </c>
    </row>
    <row r="7" spans="1:12" x14ac:dyDescent="0.3">
      <c r="A7" s="5" t="s">
        <v>28</v>
      </c>
      <c r="B7" s="6" t="s">
        <v>29</v>
      </c>
      <c r="C7" s="6" t="s">
        <v>23</v>
      </c>
      <c r="D7" s="6" t="s">
        <v>12</v>
      </c>
      <c r="E7" s="7">
        <v>46039</v>
      </c>
      <c r="F7" s="6">
        <v>32</v>
      </c>
      <c r="G7" s="6">
        <v>4.9000000000000004</v>
      </c>
      <c r="H7" s="6">
        <v>1135</v>
      </c>
      <c r="I7" s="8" t="s">
        <v>17</v>
      </c>
      <c r="J7" s="6" t="str">
        <f>IFERROR(_xlfn.XLOOKUP(Table1[[#This Row],[RestaurantID]],Table2[RestaurantID],Table2[RestaurantName]),"Unknown")</f>
        <v>Golden Wok</v>
      </c>
      <c r="K7" s="6" t="str">
        <f>IFERROR(_xlfn.XLOOKUP(Table1[[#This Row],[RestaurantID]],Table2[RestaurantID],Table2[Category]),"Unknown")</f>
        <v>Chinese</v>
      </c>
      <c r="L7" s="1">
        <f>IF(AND(Table1[[#This Row],[Status]]="Delivered",F7&lt;=40),1,0)</f>
        <v>1</v>
      </c>
    </row>
    <row r="8" spans="1:12" x14ac:dyDescent="0.3">
      <c r="A8" s="5" t="s">
        <v>30</v>
      </c>
      <c r="B8" s="6" t="s">
        <v>31</v>
      </c>
      <c r="C8" s="6" t="s">
        <v>32</v>
      </c>
      <c r="D8" s="6" t="s">
        <v>16</v>
      </c>
      <c r="E8" s="7">
        <v>46042</v>
      </c>
      <c r="F8" s="6">
        <v>39</v>
      </c>
      <c r="G8" s="6">
        <v>3.5</v>
      </c>
      <c r="H8" s="6">
        <v>1272</v>
      </c>
      <c r="I8" s="8" t="s">
        <v>17</v>
      </c>
      <c r="J8" s="6" t="str">
        <f>IFERROR(_xlfn.XLOOKUP(Table1[[#This Row],[RestaurantID]],Table2[RestaurantID],Table2[RestaurantName]),"Unknown")</f>
        <v>Pasta Palace</v>
      </c>
      <c r="K8" s="6" t="str">
        <f>IFERROR(_xlfn.XLOOKUP(Table1[[#This Row],[RestaurantID]],Table2[RestaurantID],Table2[Category]),"Unknown")</f>
        <v>Italian</v>
      </c>
      <c r="L8" s="1">
        <f>IF(AND(Table1[[#This Row],[Status]]="Delivered",F8&lt;=40),1,0)</f>
        <v>1</v>
      </c>
    </row>
    <row r="9" spans="1:12" x14ac:dyDescent="0.3">
      <c r="A9" s="5" t="s">
        <v>33</v>
      </c>
      <c r="B9" s="6" t="s">
        <v>34</v>
      </c>
      <c r="C9" s="6" t="s">
        <v>32</v>
      </c>
      <c r="D9" s="6" t="s">
        <v>20</v>
      </c>
      <c r="E9" s="7">
        <v>46045</v>
      </c>
      <c r="F9" s="6">
        <v>46</v>
      </c>
      <c r="G9" s="6">
        <v>3.8</v>
      </c>
      <c r="H9" s="6">
        <v>1409</v>
      </c>
      <c r="I9" s="8" t="s">
        <v>17</v>
      </c>
      <c r="J9" s="6" t="str">
        <f>IFERROR(_xlfn.XLOOKUP(Table1[[#This Row],[RestaurantID]],Table2[RestaurantID],Table2[RestaurantName]),"Unknown")</f>
        <v>Roma Kitchen</v>
      </c>
      <c r="K9" s="6" t="str">
        <f>IFERROR(_xlfn.XLOOKUP(Table1[[#This Row],[RestaurantID]],Table2[RestaurantID],Table2[Category]),"Unknown")</f>
        <v>Italian</v>
      </c>
      <c r="L9" s="1">
        <f>IF(AND(Table1[[#This Row],[Status]]="Delivered",F9&lt;=40),1,0)</f>
        <v>0</v>
      </c>
    </row>
    <row r="10" spans="1:12" x14ac:dyDescent="0.3">
      <c r="A10" s="5" t="s">
        <v>35</v>
      </c>
      <c r="B10" s="6" t="s">
        <v>36</v>
      </c>
      <c r="C10" s="6" t="s">
        <v>32</v>
      </c>
      <c r="D10" s="6" t="s">
        <v>24</v>
      </c>
      <c r="E10" s="7">
        <v>46048</v>
      </c>
      <c r="F10" s="6">
        <v>26</v>
      </c>
      <c r="G10" s="6">
        <v>4.0999999999999996</v>
      </c>
      <c r="H10" s="6">
        <v>1546</v>
      </c>
      <c r="I10" s="8" t="s">
        <v>17</v>
      </c>
      <c r="J10" s="6" t="str">
        <f>IFERROR(_xlfn.XLOOKUP(Table1[[#This Row],[RestaurantID]],Table2[RestaurantID],Table2[RestaurantName]),"Unknown")</f>
        <v>Bella Italia</v>
      </c>
      <c r="K10" s="6" t="str">
        <f>IFERROR(_xlfn.XLOOKUP(Table1[[#This Row],[RestaurantID]],Table2[RestaurantID],Table2[Category]),"Unknown")</f>
        <v>Italian</v>
      </c>
      <c r="L10" s="1">
        <f>IF(AND(Table1[[#This Row],[Status]]="Delivered",F10&lt;=40),1,0)</f>
        <v>1</v>
      </c>
    </row>
    <row r="11" spans="1:12" x14ac:dyDescent="0.3">
      <c r="A11" s="5" t="s">
        <v>37</v>
      </c>
      <c r="B11" s="6" t="s">
        <v>38</v>
      </c>
      <c r="C11" s="6" t="s">
        <v>39</v>
      </c>
      <c r="D11" s="6" t="s">
        <v>27</v>
      </c>
      <c r="E11" s="7">
        <v>46051</v>
      </c>
      <c r="F11" s="6">
        <v>33</v>
      </c>
      <c r="G11" s="6">
        <v>4.4000000000000004</v>
      </c>
      <c r="H11" s="6">
        <v>1683</v>
      </c>
      <c r="I11" s="8" t="s">
        <v>17</v>
      </c>
      <c r="J11" s="6" t="str">
        <f>IFERROR(_xlfn.XLOOKUP(Table1[[#This Row],[RestaurantID]],Table2[RestaurantID],Table2[RestaurantName]),"Unknown")</f>
        <v>Mexican Fiesta</v>
      </c>
      <c r="K11" s="6" t="str">
        <f>IFERROR(_xlfn.XLOOKUP(Table1[[#This Row],[RestaurantID]],Table2[RestaurantID],Table2[Category]),"Unknown")</f>
        <v>Mexican</v>
      </c>
      <c r="L11" s="1">
        <f>IF(AND(Table1[[#This Row],[Status]]="Delivered",F11&lt;=40),1,0)</f>
        <v>1</v>
      </c>
    </row>
    <row r="12" spans="1:12" x14ac:dyDescent="0.3">
      <c r="A12" s="5" t="s">
        <v>40</v>
      </c>
      <c r="B12" s="6" t="s">
        <v>41</v>
      </c>
      <c r="C12" s="6" t="s">
        <v>39</v>
      </c>
      <c r="D12" s="6" t="s">
        <v>12</v>
      </c>
      <c r="E12" s="7">
        <v>46054</v>
      </c>
      <c r="F12" s="6">
        <v>40</v>
      </c>
      <c r="G12" s="6">
        <v>4.7</v>
      </c>
      <c r="H12" s="6">
        <v>1820</v>
      </c>
      <c r="I12" s="8" t="s">
        <v>17</v>
      </c>
      <c r="J12" s="6" t="str">
        <f>IFERROR(_xlfn.XLOOKUP(Table1[[#This Row],[RestaurantID]],Table2[RestaurantID],Table2[RestaurantName]),"Unknown")</f>
        <v>Taco Town</v>
      </c>
      <c r="K12" s="6" t="str">
        <f>IFERROR(_xlfn.XLOOKUP(Table1[[#This Row],[RestaurantID]],Table2[RestaurantID],Table2[Category]),"Unknown")</f>
        <v>Mexican</v>
      </c>
      <c r="L12" s="1">
        <f>IF(AND(Table1[[#This Row],[Status]]="Delivered",F12&lt;=40),1,0)</f>
        <v>1</v>
      </c>
    </row>
    <row r="13" spans="1:12" x14ac:dyDescent="0.3">
      <c r="A13" s="5" t="s">
        <v>42</v>
      </c>
      <c r="B13" s="6" t="s">
        <v>43</v>
      </c>
      <c r="C13" s="6" t="s">
        <v>39</v>
      </c>
      <c r="D13" s="6" t="s">
        <v>16</v>
      </c>
      <c r="E13" s="7">
        <v>46057</v>
      </c>
      <c r="F13" s="6">
        <v>47</v>
      </c>
      <c r="G13" s="6">
        <v>3.3</v>
      </c>
      <c r="H13" s="6">
        <v>1957</v>
      </c>
      <c r="I13" s="8" t="s">
        <v>17</v>
      </c>
      <c r="J13" s="6" t="str">
        <f>IFERROR(_xlfn.XLOOKUP(Table1[[#This Row],[RestaurantID]],Table2[RestaurantID],Table2[RestaurantName]),"Unknown")</f>
        <v>Casa Mexicana</v>
      </c>
      <c r="K13" s="6" t="str">
        <f>IFERROR(_xlfn.XLOOKUP(Table1[[#This Row],[RestaurantID]],Table2[RestaurantID],Table2[Category]),"Unknown")</f>
        <v>Mexican</v>
      </c>
      <c r="L13" s="1">
        <f>IF(AND(Table1[[#This Row],[Status]]="Delivered",F13&lt;=40),1,0)</f>
        <v>0</v>
      </c>
    </row>
    <row r="14" spans="1:12" x14ac:dyDescent="0.3">
      <c r="A14" s="5" t="s">
        <v>44</v>
      </c>
      <c r="B14" s="6" t="s">
        <v>45</v>
      </c>
      <c r="C14" s="6" t="s">
        <v>11</v>
      </c>
      <c r="D14" s="6" t="s">
        <v>24</v>
      </c>
      <c r="E14" s="7">
        <v>46060</v>
      </c>
      <c r="F14" s="6">
        <v>27</v>
      </c>
      <c r="G14" s="6">
        <v>3.6</v>
      </c>
      <c r="H14" s="6">
        <v>2094</v>
      </c>
      <c r="I14" s="8" t="s">
        <v>17</v>
      </c>
      <c r="J14" s="6" t="str">
        <f>IFERROR(_xlfn.XLOOKUP(Table1[[#This Row],[RestaurantID]],Table2[RestaurantID],Table2[RestaurantName]),"Unknown")</f>
        <v>Masala House</v>
      </c>
      <c r="K14" s="6" t="str">
        <f>IFERROR(_xlfn.XLOOKUP(Table1[[#This Row],[RestaurantID]],Table2[RestaurantID],Table2[Category]),"Unknown")</f>
        <v>Indian</v>
      </c>
      <c r="L14" s="1">
        <f>IF(AND(Table1[[#This Row],[Status]]="Delivered",F14&lt;=40),1,0)</f>
        <v>1</v>
      </c>
    </row>
    <row r="15" spans="1:12" x14ac:dyDescent="0.3">
      <c r="A15" s="5" t="s">
        <v>46</v>
      </c>
      <c r="B15" s="6" t="s">
        <v>47</v>
      </c>
      <c r="C15" s="6" t="s">
        <v>23</v>
      </c>
      <c r="D15" s="6" t="s">
        <v>20</v>
      </c>
      <c r="E15" s="7">
        <v>46063</v>
      </c>
      <c r="F15" s="6">
        <v>34</v>
      </c>
      <c r="G15" s="6">
        <v>3.9</v>
      </c>
      <c r="H15" s="6">
        <v>2231</v>
      </c>
      <c r="I15" s="8" t="s">
        <v>17</v>
      </c>
      <c r="J15" s="6" t="str">
        <f>IFERROR(_xlfn.XLOOKUP(Table1[[#This Row],[RestaurantID]],Table2[RestaurantID],Table2[RestaurantName]),"Unknown")</f>
        <v>Wok Express</v>
      </c>
      <c r="K15" s="6" t="str">
        <f>IFERROR(_xlfn.XLOOKUP(Table1[[#This Row],[RestaurantID]],Table2[RestaurantID],Table2[Category]),"Unknown")</f>
        <v>Chinese</v>
      </c>
      <c r="L15" s="1">
        <f>IF(AND(Table1[[#This Row],[Status]]="Delivered",F15&lt;=40),1,0)</f>
        <v>1</v>
      </c>
    </row>
    <row r="16" spans="1:12" x14ac:dyDescent="0.3">
      <c r="A16" s="5" t="s">
        <v>48</v>
      </c>
      <c r="B16" s="6" t="s">
        <v>49</v>
      </c>
      <c r="C16" s="6" t="s">
        <v>32</v>
      </c>
      <c r="D16" s="6" t="s">
        <v>27</v>
      </c>
      <c r="E16" s="7">
        <v>46066</v>
      </c>
      <c r="F16" s="6">
        <v>41</v>
      </c>
      <c r="G16" s="6">
        <v>4.2</v>
      </c>
      <c r="H16" s="6">
        <v>2368</v>
      </c>
      <c r="I16" s="8" t="s">
        <v>17</v>
      </c>
      <c r="J16" s="6" t="str">
        <f>IFERROR(_xlfn.XLOOKUP(Table1[[#This Row],[RestaurantID]],Table2[RestaurantID],Table2[RestaurantName]),"Unknown")</f>
        <v>Pasta Street</v>
      </c>
      <c r="K16" s="6" t="str">
        <f>IFERROR(_xlfn.XLOOKUP(Table1[[#This Row],[RestaurantID]],Table2[RestaurantID],Table2[Category]),"Unknown")</f>
        <v>Italian</v>
      </c>
      <c r="L16" s="1">
        <f>IF(AND(Table1[[#This Row],[Status]]="Delivered",F16&lt;=40),1,0)</f>
        <v>0</v>
      </c>
    </row>
    <row r="17" spans="1:12" x14ac:dyDescent="0.3">
      <c r="A17" s="5" t="s">
        <v>50</v>
      </c>
      <c r="B17" s="6" t="s">
        <v>10</v>
      </c>
      <c r="C17" s="6" t="s">
        <v>11</v>
      </c>
      <c r="D17" s="6" t="s">
        <v>12</v>
      </c>
      <c r="E17" s="7">
        <v>46069</v>
      </c>
      <c r="F17" s="6">
        <v>48</v>
      </c>
      <c r="G17" s="6">
        <v>4.5</v>
      </c>
      <c r="H17" s="6">
        <v>2505</v>
      </c>
      <c r="I17" s="8" t="s">
        <v>17</v>
      </c>
      <c r="J17" s="6" t="str">
        <f>IFERROR(_xlfn.XLOOKUP(Table1[[#This Row],[RestaurantID]],Table2[RestaurantID],Table2[RestaurantName]),"Unknown")</f>
        <v>Spice Villa</v>
      </c>
      <c r="K17" s="6" t="str">
        <f>IFERROR(_xlfn.XLOOKUP(Table1[[#This Row],[RestaurantID]],Table2[RestaurantID],Table2[Category]),"Unknown")</f>
        <v>Indian</v>
      </c>
      <c r="L17" s="1">
        <f>IF(AND(Table1[[#This Row],[Status]]="Delivered",F17&lt;=40),1,0)</f>
        <v>0</v>
      </c>
    </row>
    <row r="18" spans="1:12" x14ac:dyDescent="0.3">
      <c r="A18" s="5" t="s">
        <v>51</v>
      </c>
      <c r="B18" s="6" t="s">
        <v>15</v>
      </c>
      <c r="C18" s="6" t="s">
        <v>11</v>
      </c>
      <c r="D18" s="6" t="s">
        <v>16</v>
      </c>
      <c r="E18" s="7">
        <v>46072</v>
      </c>
      <c r="F18" s="6">
        <v>28</v>
      </c>
      <c r="G18" s="6">
        <v>4.8</v>
      </c>
      <c r="H18" s="6">
        <v>2642</v>
      </c>
      <c r="I18" s="8" t="s">
        <v>17</v>
      </c>
      <c r="J18" s="6" t="str">
        <f>IFERROR(_xlfn.XLOOKUP(Table1[[#This Row],[RestaurantID]],Table2[RestaurantID],Table2[RestaurantName]),"Unknown")</f>
        <v>Tandoori Tales</v>
      </c>
      <c r="K18" s="6" t="str">
        <f>IFERROR(_xlfn.XLOOKUP(Table1[[#This Row],[RestaurantID]],Table2[RestaurantID],Table2[Category]),"Unknown")</f>
        <v>Indian</v>
      </c>
      <c r="L18" s="1">
        <f>IF(AND(Table1[[#This Row],[Status]]="Delivered",F18&lt;=40),1,0)</f>
        <v>1</v>
      </c>
    </row>
    <row r="19" spans="1:12" x14ac:dyDescent="0.3">
      <c r="A19" s="5" t="s">
        <v>52</v>
      </c>
      <c r="B19" s="6" t="s">
        <v>19</v>
      </c>
      <c r="C19" s="6" t="s">
        <v>11</v>
      </c>
      <c r="D19" s="6" t="s">
        <v>20</v>
      </c>
      <c r="E19" s="7">
        <v>46075</v>
      </c>
      <c r="F19" s="6">
        <v>35</v>
      </c>
      <c r="G19" s="6">
        <v>3.4</v>
      </c>
      <c r="H19" s="6">
        <v>2779</v>
      </c>
      <c r="I19" s="8" t="s">
        <v>17</v>
      </c>
      <c r="J19" s="6" t="str">
        <f>IFERROR(_xlfn.XLOOKUP(Table1[[#This Row],[RestaurantID]],Table2[RestaurantID],Table2[RestaurantName]),"Unknown")</f>
        <v>Curry Corner</v>
      </c>
      <c r="K19" s="6" t="str">
        <f>IFERROR(_xlfn.XLOOKUP(Table1[[#This Row],[RestaurantID]],Table2[RestaurantID],Table2[Category]),"Unknown")</f>
        <v>Indian</v>
      </c>
      <c r="L19" s="1">
        <f>IF(AND(Table1[[#This Row],[Status]]="Delivered",F19&lt;=40),1,0)</f>
        <v>1</v>
      </c>
    </row>
    <row r="20" spans="1:12" x14ac:dyDescent="0.3">
      <c r="A20" s="5" t="s">
        <v>53</v>
      </c>
      <c r="B20" s="6" t="s">
        <v>22</v>
      </c>
      <c r="C20" s="6" t="s">
        <v>23</v>
      </c>
      <c r="D20" s="6" t="s">
        <v>24</v>
      </c>
      <c r="E20" s="7">
        <v>46078</v>
      </c>
      <c r="F20" s="6">
        <v>42</v>
      </c>
      <c r="G20" s="6">
        <v>3.7</v>
      </c>
      <c r="H20" s="6">
        <v>2916</v>
      </c>
      <c r="I20" s="8" t="s">
        <v>17</v>
      </c>
      <c r="J20" s="6" t="str">
        <f>IFERROR(_xlfn.XLOOKUP(Table1[[#This Row],[RestaurantID]],Table2[RestaurantID],Table2[RestaurantName]),"Unknown")</f>
        <v>Urban Wok</v>
      </c>
      <c r="K20" s="6" t="str">
        <f>IFERROR(_xlfn.XLOOKUP(Table1[[#This Row],[RestaurantID]],Table2[RestaurantID],Table2[Category]),"Unknown")</f>
        <v>Chinese</v>
      </c>
      <c r="L20" s="1">
        <f>IF(AND(Table1[[#This Row],[Status]]="Delivered",F20&lt;=40),1,0)</f>
        <v>0</v>
      </c>
    </row>
    <row r="21" spans="1:12" x14ac:dyDescent="0.3">
      <c r="A21" s="5" t="s">
        <v>54</v>
      </c>
      <c r="B21" s="6" t="s">
        <v>26</v>
      </c>
      <c r="C21" s="6" t="s">
        <v>23</v>
      </c>
      <c r="D21" s="6" t="s">
        <v>27</v>
      </c>
      <c r="E21" s="7">
        <v>46081</v>
      </c>
      <c r="F21" s="6">
        <v>49</v>
      </c>
      <c r="G21" s="6">
        <v>4</v>
      </c>
      <c r="H21" s="6">
        <v>3053</v>
      </c>
      <c r="I21" s="8" t="s">
        <v>17</v>
      </c>
      <c r="J21" s="6" t="str">
        <f>IFERROR(_xlfn.XLOOKUP(Table1[[#This Row],[RestaurantID]],Table2[RestaurantID],Table2[RestaurantName]),"Unknown")</f>
        <v>Dragon Bowl</v>
      </c>
      <c r="K21" s="6" t="str">
        <f>IFERROR(_xlfn.XLOOKUP(Table1[[#This Row],[RestaurantID]],Table2[RestaurantID],Table2[Category]),"Unknown")</f>
        <v>Chinese</v>
      </c>
      <c r="L21" s="1">
        <f>IF(AND(Table1[[#This Row],[Status]]="Delivered",F21&lt;=40),1,0)</f>
        <v>0</v>
      </c>
    </row>
    <row r="22" spans="1:12" x14ac:dyDescent="0.3">
      <c r="A22" s="5" t="s">
        <v>55</v>
      </c>
      <c r="B22" s="6" t="s">
        <v>29</v>
      </c>
      <c r="C22" s="6" t="s">
        <v>23</v>
      </c>
      <c r="D22" s="6" t="s">
        <v>12</v>
      </c>
      <c r="E22" s="7">
        <v>46084</v>
      </c>
      <c r="F22" s="6">
        <v>29</v>
      </c>
      <c r="G22" s="6">
        <v>4.3</v>
      </c>
      <c r="H22" s="6">
        <v>3190</v>
      </c>
      <c r="I22" s="8" t="s">
        <v>17</v>
      </c>
      <c r="J22" s="6" t="str">
        <f>IFERROR(_xlfn.XLOOKUP(Table1[[#This Row],[RestaurantID]],Table2[RestaurantID],Table2[RestaurantName]),"Unknown")</f>
        <v>Golden Wok</v>
      </c>
      <c r="K22" s="6" t="str">
        <f>IFERROR(_xlfn.XLOOKUP(Table1[[#This Row],[RestaurantID]],Table2[RestaurantID],Table2[Category]),"Unknown")</f>
        <v>Chinese</v>
      </c>
      <c r="L22" s="1">
        <f>IF(AND(Table1[[#This Row],[Status]]="Delivered",F22&lt;=40),1,0)</f>
        <v>1</v>
      </c>
    </row>
    <row r="23" spans="1:12" x14ac:dyDescent="0.3">
      <c r="A23" s="5" t="s">
        <v>56</v>
      </c>
      <c r="B23" s="6" t="s">
        <v>31</v>
      </c>
      <c r="C23" s="6" t="s">
        <v>32</v>
      </c>
      <c r="D23" s="6" t="s">
        <v>16</v>
      </c>
      <c r="E23" s="7">
        <v>46087</v>
      </c>
      <c r="F23" s="6">
        <v>36</v>
      </c>
      <c r="G23" s="6">
        <v>4.5999999999999996</v>
      </c>
      <c r="H23" s="6">
        <v>3327</v>
      </c>
      <c r="I23" s="8" t="s">
        <v>17</v>
      </c>
      <c r="J23" s="6" t="str">
        <f>IFERROR(_xlfn.XLOOKUP(Table1[[#This Row],[RestaurantID]],Table2[RestaurantID],Table2[RestaurantName]),"Unknown")</f>
        <v>Pasta Palace</v>
      </c>
      <c r="K23" s="6" t="str">
        <f>IFERROR(_xlfn.XLOOKUP(Table1[[#This Row],[RestaurantID]],Table2[RestaurantID],Table2[Category]),"Unknown")</f>
        <v>Italian</v>
      </c>
      <c r="L23" s="1">
        <f>IF(AND(Table1[[#This Row],[Status]]="Delivered",F23&lt;=40),1,0)</f>
        <v>1</v>
      </c>
    </row>
    <row r="24" spans="1:12" x14ac:dyDescent="0.3">
      <c r="A24" s="5" t="s">
        <v>57</v>
      </c>
      <c r="B24" s="6" t="s">
        <v>34</v>
      </c>
      <c r="C24" s="6" t="s">
        <v>32</v>
      </c>
      <c r="D24" s="6" t="s">
        <v>20</v>
      </c>
      <c r="E24" s="7">
        <v>46090</v>
      </c>
      <c r="F24" s="6">
        <v>43</v>
      </c>
      <c r="G24" s="6">
        <v>4.9000000000000004</v>
      </c>
      <c r="H24" s="6">
        <v>3464</v>
      </c>
      <c r="I24" s="8" t="s">
        <v>17</v>
      </c>
      <c r="J24" s="6" t="str">
        <f>IFERROR(_xlfn.XLOOKUP(Table1[[#This Row],[RestaurantID]],Table2[RestaurantID],Table2[RestaurantName]),"Unknown")</f>
        <v>Roma Kitchen</v>
      </c>
      <c r="K24" s="6" t="str">
        <f>IFERROR(_xlfn.XLOOKUP(Table1[[#This Row],[RestaurantID]],Table2[RestaurantID],Table2[Category]),"Unknown")</f>
        <v>Italian</v>
      </c>
      <c r="L24" s="1">
        <f>IF(AND(Table1[[#This Row],[Status]]="Delivered",F24&lt;=40),1,0)</f>
        <v>0</v>
      </c>
    </row>
    <row r="25" spans="1:12" x14ac:dyDescent="0.3">
      <c r="A25" s="5" t="s">
        <v>58</v>
      </c>
      <c r="B25" s="6" t="s">
        <v>36</v>
      </c>
      <c r="C25" s="6" t="s">
        <v>32</v>
      </c>
      <c r="D25" s="6" t="s">
        <v>24</v>
      </c>
      <c r="E25" s="7">
        <v>46093</v>
      </c>
      <c r="F25" s="6">
        <v>23</v>
      </c>
      <c r="G25" s="6">
        <v>3.5</v>
      </c>
      <c r="H25" s="6">
        <v>461</v>
      </c>
      <c r="I25" s="8" t="s">
        <v>17</v>
      </c>
      <c r="J25" s="6" t="str">
        <f>IFERROR(_xlfn.XLOOKUP(Table1[[#This Row],[RestaurantID]],Table2[RestaurantID],Table2[RestaurantName]),"Unknown")</f>
        <v>Bella Italia</v>
      </c>
      <c r="K25" s="6" t="str">
        <f>IFERROR(_xlfn.XLOOKUP(Table1[[#This Row],[RestaurantID]],Table2[RestaurantID],Table2[Category]),"Unknown")</f>
        <v>Italian</v>
      </c>
      <c r="L25" s="1">
        <f>IF(AND(Table1[[#This Row],[Status]]="Delivered",F25&lt;=40),1,0)</f>
        <v>1</v>
      </c>
    </row>
    <row r="26" spans="1:12" x14ac:dyDescent="0.3">
      <c r="A26" s="5" t="s">
        <v>59</v>
      </c>
      <c r="B26" s="6" t="s">
        <v>38</v>
      </c>
      <c r="C26" s="6" t="s">
        <v>39</v>
      </c>
      <c r="D26" s="6" t="s">
        <v>27</v>
      </c>
      <c r="E26" s="7">
        <v>46096</v>
      </c>
      <c r="F26" s="6">
        <v>30</v>
      </c>
      <c r="G26" s="6">
        <v>3.8</v>
      </c>
      <c r="H26" s="6">
        <v>598</v>
      </c>
      <c r="I26" s="8" t="s">
        <v>17</v>
      </c>
      <c r="J26" s="6" t="str">
        <f>IFERROR(_xlfn.XLOOKUP(Table1[[#This Row],[RestaurantID]],Table2[RestaurantID],Table2[RestaurantName]),"Unknown")</f>
        <v>Mexican Fiesta</v>
      </c>
      <c r="K26" s="6" t="str">
        <f>IFERROR(_xlfn.XLOOKUP(Table1[[#This Row],[RestaurantID]],Table2[RestaurantID],Table2[Category]),"Unknown")</f>
        <v>Mexican</v>
      </c>
      <c r="L26" s="1">
        <f>IF(AND(Table1[[#This Row],[Status]]="Delivered",F26&lt;=40),1,0)</f>
        <v>1</v>
      </c>
    </row>
    <row r="27" spans="1:12" x14ac:dyDescent="0.3">
      <c r="A27" s="5" t="s">
        <v>60</v>
      </c>
      <c r="B27" s="6" t="s">
        <v>41</v>
      </c>
      <c r="C27" s="6" t="s">
        <v>39</v>
      </c>
      <c r="D27" s="6" t="s">
        <v>12</v>
      </c>
      <c r="E27" s="7">
        <v>46099</v>
      </c>
      <c r="F27" s="6">
        <v>37</v>
      </c>
      <c r="G27" s="6">
        <v>4.0999999999999996</v>
      </c>
      <c r="H27" s="6">
        <v>735</v>
      </c>
      <c r="I27" s="8" t="s">
        <v>17</v>
      </c>
      <c r="J27" s="6" t="str">
        <f>IFERROR(_xlfn.XLOOKUP(Table1[[#This Row],[RestaurantID]],Table2[RestaurantID],Table2[RestaurantName]),"Unknown")</f>
        <v>Taco Town</v>
      </c>
      <c r="K27" s="6" t="str">
        <f>IFERROR(_xlfn.XLOOKUP(Table1[[#This Row],[RestaurantID]],Table2[RestaurantID],Table2[Category]),"Unknown")</f>
        <v>Mexican</v>
      </c>
      <c r="L27" s="1">
        <f>IF(AND(Table1[[#This Row],[Status]]="Delivered",F27&lt;=40),1,0)</f>
        <v>1</v>
      </c>
    </row>
    <row r="28" spans="1:12" x14ac:dyDescent="0.3">
      <c r="A28" s="5" t="s">
        <v>61</v>
      </c>
      <c r="B28" s="6" t="s">
        <v>43</v>
      </c>
      <c r="C28" s="6" t="s">
        <v>39</v>
      </c>
      <c r="D28" s="6" t="s">
        <v>16</v>
      </c>
      <c r="E28" s="7">
        <v>46102</v>
      </c>
      <c r="F28" s="6">
        <v>44</v>
      </c>
      <c r="G28" s="6">
        <v>4.4000000000000004</v>
      </c>
      <c r="H28" s="6">
        <v>872</v>
      </c>
      <c r="I28" s="8" t="s">
        <v>17</v>
      </c>
      <c r="J28" s="6" t="str">
        <f>IFERROR(_xlfn.XLOOKUP(Table1[[#This Row],[RestaurantID]],Table2[RestaurantID],Table2[RestaurantName]),"Unknown")</f>
        <v>Casa Mexicana</v>
      </c>
      <c r="K28" s="6" t="str">
        <f>IFERROR(_xlfn.XLOOKUP(Table1[[#This Row],[RestaurantID]],Table2[RestaurantID],Table2[Category]),"Unknown")</f>
        <v>Mexican</v>
      </c>
      <c r="L28" s="1">
        <f>IF(AND(Table1[[#This Row],[Status]]="Delivered",F28&lt;=40),1,0)</f>
        <v>0</v>
      </c>
    </row>
    <row r="29" spans="1:12" x14ac:dyDescent="0.3">
      <c r="A29" s="5" t="s">
        <v>62</v>
      </c>
      <c r="B29" s="6" t="s">
        <v>45</v>
      </c>
      <c r="C29" s="6" t="s">
        <v>11</v>
      </c>
      <c r="D29" s="6" t="s">
        <v>24</v>
      </c>
      <c r="E29" s="7">
        <v>46105</v>
      </c>
      <c r="F29" s="6">
        <v>24</v>
      </c>
      <c r="G29" s="6">
        <v>4.7</v>
      </c>
      <c r="H29" s="6">
        <v>1009</v>
      </c>
      <c r="I29" s="8" t="s">
        <v>17</v>
      </c>
      <c r="J29" s="6" t="str">
        <f>IFERROR(_xlfn.XLOOKUP(Table1[[#This Row],[RestaurantID]],Table2[RestaurantID],Table2[RestaurantName]),"Unknown")</f>
        <v>Masala House</v>
      </c>
      <c r="K29" s="6" t="str">
        <f>IFERROR(_xlfn.XLOOKUP(Table1[[#This Row],[RestaurantID]],Table2[RestaurantID],Table2[Category]),"Unknown")</f>
        <v>Indian</v>
      </c>
      <c r="L29" s="1">
        <f>IF(AND(Table1[[#This Row],[Status]]="Delivered",F29&lt;=40),1,0)</f>
        <v>1</v>
      </c>
    </row>
    <row r="30" spans="1:12" x14ac:dyDescent="0.3">
      <c r="A30" s="5" t="s">
        <v>63</v>
      </c>
      <c r="B30" s="6" t="s">
        <v>47</v>
      </c>
      <c r="C30" s="6" t="s">
        <v>23</v>
      </c>
      <c r="D30" s="6" t="s">
        <v>20</v>
      </c>
      <c r="E30" s="7">
        <v>46108</v>
      </c>
      <c r="F30" s="6">
        <v>31</v>
      </c>
      <c r="G30" s="6">
        <v>3.3</v>
      </c>
      <c r="H30" s="6">
        <v>1146</v>
      </c>
      <c r="I30" s="8" t="s">
        <v>17</v>
      </c>
      <c r="J30" s="6" t="str">
        <f>IFERROR(_xlfn.XLOOKUP(Table1[[#This Row],[RestaurantID]],Table2[RestaurantID],Table2[RestaurantName]),"Unknown")</f>
        <v>Wok Express</v>
      </c>
      <c r="K30" s="6" t="str">
        <f>IFERROR(_xlfn.XLOOKUP(Table1[[#This Row],[RestaurantID]],Table2[RestaurantID],Table2[Category]),"Unknown")</f>
        <v>Chinese</v>
      </c>
      <c r="L30" s="1">
        <f>IF(AND(Table1[[#This Row],[Status]]="Delivered",F30&lt;=40),1,0)</f>
        <v>1</v>
      </c>
    </row>
    <row r="31" spans="1:12" x14ac:dyDescent="0.3">
      <c r="A31" s="5" t="s">
        <v>64</v>
      </c>
      <c r="B31" s="6" t="s">
        <v>49</v>
      </c>
      <c r="C31" s="6" t="s">
        <v>32</v>
      </c>
      <c r="D31" s="6" t="s">
        <v>27</v>
      </c>
      <c r="E31" s="7">
        <v>46111</v>
      </c>
      <c r="F31" s="6">
        <v>38</v>
      </c>
      <c r="G31" s="6">
        <v>3.6</v>
      </c>
      <c r="H31" s="6">
        <v>1283</v>
      </c>
      <c r="I31" s="8" t="s">
        <v>17</v>
      </c>
      <c r="J31" s="6" t="str">
        <f>IFERROR(_xlfn.XLOOKUP(Table1[[#This Row],[RestaurantID]],Table2[RestaurantID],Table2[RestaurantName]),"Unknown")</f>
        <v>Pasta Street</v>
      </c>
      <c r="K31" s="6" t="str">
        <f>IFERROR(_xlfn.XLOOKUP(Table1[[#This Row],[RestaurantID]],Table2[RestaurantID],Table2[Category]),"Unknown")</f>
        <v>Italian</v>
      </c>
      <c r="L31" s="1">
        <f>IF(AND(Table1[[#This Row],[Status]]="Delivered",F31&lt;=40),1,0)</f>
        <v>1</v>
      </c>
    </row>
    <row r="32" spans="1:12" x14ac:dyDescent="0.3">
      <c r="A32" s="5" t="s">
        <v>65</v>
      </c>
      <c r="B32" s="6" t="s">
        <v>10</v>
      </c>
      <c r="C32" s="6" t="s">
        <v>11</v>
      </c>
      <c r="D32" s="6" t="s">
        <v>12</v>
      </c>
      <c r="E32" s="7">
        <v>46024</v>
      </c>
      <c r="F32" s="6">
        <v>45</v>
      </c>
      <c r="G32" s="6">
        <v>3.9</v>
      </c>
      <c r="H32" s="6">
        <v>1420</v>
      </c>
      <c r="I32" s="8" t="s">
        <v>17</v>
      </c>
      <c r="J32" s="6" t="str">
        <f>IFERROR(_xlfn.XLOOKUP(Table1[[#This Row],[RestaurantID]],Table2[RestaurantID],Table2[RestaurantName]),"Unknown")</f>
        <v>Spice Villa</v>
      </c>
      <c r="K32" s="6" t="str">
        <f>IFERROR(_xlfn.XLOOKUP(Table1[[#This Row],[RestaurantID]],Table2[RestaurantID],Table2[Category]),"Unknown")</f>
        <v>Indian</v>
      </c>
      <c r="L32" s="1">
        <f>IF(AND(Table1[[#This Row],[Status]]="Delivered",F32&lt;=40),1,0)</f>
        <v>0</v>
      </c>
    </row>
    <row r="33" spans="1:12" x14ac:dyDescent="0.3">
      <c r="A33" s="5" t="s">
        <v>66</v>
      </c>
      <c r="B33" s="6" t="s">
        <v>15</v>
      </c>
      <c r="C33" s="6" t="s">
        <v>11</v>
      </c>
      <c r="D33" s="6" t="s">
        <v>16</v>
      </c>
      <c r="E33" s="7">
        <v>46027</v>
      </c>
      <c r="F33" s="6">
        <v>25</v>
      </c>
      <c r="G33" s="6">
        <v>4.2</v>
      </c>
      <c r="H33" s="6">
        <v>1557</v>
      </c>
      <c r="I33" s="8" t="s">
        <v>17</v>
      </c>
      <c r="J33" s="6" t="str">
        <f>IFERROR(_xlfn.XLOOKUP(Table1[[#This Row],[RestaurantID]],Table2[RestaurantID],Table2[RestaurantName]),"Unknown")</f>
        <v>Tandoori Tales</v>
      </c>
      <c r="K33" s="6" t="str">
        <f>IFERROR(_xlfn.XLOOKUP(Table1[[#This Row],[RestaurantID]],Table2[RestaurantID],Table2[Category]),"Unknown")</f>
        <v>Indian</v>
      </c>
      <c r="L33" s="1">
        <f>IF(AND(Table1[[#This Row],[Status]]="Delivered",F33&lt;=40),1,0)</f>
        <v>1</v>
      </c>
    </row>
    <row r="34" spans="1:12" x14ac:dyDescent="0.3">
      <c r="A34" s="5" t="s">
        <v>67</v>
      </c>
      <c r="B34" s="6" t="s">
        <v>19</v>
      </c>
      <c r="C34" s="6" t="s">
        <v>11</v>
      </c>
      <c r="D34" s="6" t="s">
        <v>20</v>
      </c>
      <c r="E34" s="7">
        <v>46030</v>
      </c>
      <c r="F34" s="6">
        <v>32</v>
      </c>
      <c r="G34" s="6">
        <v>4.5</v>
      </c>
      <c r="H34" s="6">
        <v>1694</v>
      </c>
      <c r="I34" s="8" t="s">
        <v>17</v>
      </c>
      <c r="J34" s="6" t="str">
        <f>IFERROR(_xlfn.XLOOKUP(Table1[[#This Row],[RestaurantID]],Table2[RestaurantID],Table2[RestaurantName]),"Unknown")</f>
        <v>Curry Corner</v>
      </c>
      <c r="K34" s="6" t="str">
        <f>IFERROR(_xlfn.XLOOKUP(Table1[[#This Row],[RestaurantID]],Table2[RestaurantID],Table2[Category]),"Unknown")</f>
        <v>Indian</v>
      </c>
      <c r="L34" s="1">
        <f>IF(AND(Table1[[#This Row],[Status]]="Delivered",F34&lt;=40),1,0)</f>
        <v>1</v>
      </c>
    </row>
    <row r="35" spans="1:12" x14ac:dyDescent="0.3">
      <c r="A35" s="5" t="s">
        <v>68</v>
      </c>
      <c r="B35" s="6" t="s">
        <v>22</v>
      </c>
      <c r="C35" s="6" t="s">
        <v>23</v>
      </c>
      <c r="D35" s="6" t="s">
        <v>24</v>
      </c>
      <c r="E35" s="7">
        <v>46033</v>
      </c>
      <c r="F35" s="6">
        <v>39</v>
      </c>
      <c r="G35" s="6">
        <v>4.8</v>
      </c>
      <c r="H35" s="6">
        <v>1831</v>
      </c>
      <c r="I35" s="8" t="s">
        <v>17</v>
      </c>
      <c r="J35" s="6" t="str">
        <f>IFERROR(_xlfn.XLOOKUP(Table1[[#This Row],[RestaurantID]],Table2[RestaurantID],Table2[RestaurantName]),"Unknown")</f>
        <v>Urban Wok</v>
      </c>
      <c r="K35" s="6" t="str">
        <f>IFERROR(_xlfn.XLOOKUP(Table1[[#This Row],[RestaurantID]],Table2[RestaurantID],Table2[Category]),"Unknown")</f>
        <v>Chinese</v>
      </c>
      <c r="L35" s="1">
        <f>IF(AND(Table1[[#This Row],[Status]]="Delivered",F35&lt;=40),1,0)</f>
        <v>1</v>
      </c>
    </row>
    <row r="36" spans="1:12" x14ac:dyDescent="0.3">
      <c r="A36" s="5" t="s">
        <v>69</v>
      </c>
      <c r="B36" s="6" t="s">
        <v>26</v>
      </c>
      <c r="C36" s="6" t="s">
        <v>23</v>
      </c>
      <c r="D36" s="6" t="s">
        <v>27</v>
      </c>
      <c r="E36" s="7">
        <v>46036</v>
      </c>
      <c r="F36" s="6">
        <v>46</v>
      </c>
      <c r="G36" s="6">
        <v>3.4</v>
      </c>
      <c r="H36" s="6">
        <v>1968</v>
      </c>
      <c r="I36" s="8" t="s">
        <v>13</v>
      </c>
      <c r="J36" s="6" t="str">
        <f>IFERROR(_xlfn.XLOOKUP(Table1[[#This Row],[RestaurantID]],Table2[RestaurantID],Table2[RestaurantName]),"Unknown")</f>
        <v>Dragon Bowl</v>
      </c>
      <c r="K36" s="6" t="str">
        <f>IFERROR(_xlfn.XLOOKUP(Table1[[#This Row],[RestaurantID]],Table2[RestaurantID],Table2[Category]),"Unknown")</f>
        <v>Chinese</v>
      </c>
      <c r="L36" s="1">
        <f>IF(AND(Table1[[#This Row],[Status]]="Delivered",F36&lt;=40),1,0)</f>
        <v>0</v>
      </c>
    </row>
    <row r="37" spans="1:12" x14ac:dyDescent="0.3">
      <c r="A37" s="5" t="s">
        <v>70</v>
      </c>
      <c r="B37" s="6" t="s">
        <v>29</v>
      </c>
      <c r="C37" s="6" t="s">
        <v>23</v>
      </c>
      <c r="D37" s="6" t="s">
        <v>12</v>
      </c>
      <c r="E37" s="7">
        <v>46039</v>
      </c>
      <c r="F37" s="6">
        <v>26</v>
      </c>
      <c r="G37" s="6">
        <v>3.7</v>
      </c>
      <c r="H37" s="6">
        <v>2105</v>
      </c>
      <c r="I37" s="8" t="s">
        <v>17</v>
      </c>
      <c r="J37" s="6" t="str">
        <f>IFERROR(_xlfn.XLOOKUP(Table1[[#This Row],[RestaurantID]],Table2[RestaurantID],Table2[RestaurantName]),"Unknown")</f>
        <v>Golden Wok</v>
      </c>
      <c r="K37" s="6" t="str">
        <f>IFERROR(_xlfn.XLOOKUP(Table1[[#This Row],[RestaurantID]],Table2[RestaurantID],Table2[Category]),"Unknown")</f>
        <v>Chinese</v>
      </c>
      <c r="L37" s="1">
        <f>IF(AND(Table1[[#This Row],[Status]]="Delivered",F37&lt;=40),1,0)</f>
        <v>1</v>
      </c>
    </row>
    <row r="38" spans="1:12" x14ac:dyDescent="0.3">
      <c r="A38" s="5" t="s">
        <v>71</v>
      </c>
      <c r="B38" s="6" t="s">
        <v>31</v>
      </c>
      <c r="C38" s="6" t="s">
        <v>32</v>
      </c>
      <c r="D38" s="6" t="s">
        <v>16</v>
      </c>
      <c r="E38" s="7">
        <v>46042</v>
      </c>
      <c r="F38" s="6">
        <v>33</v>
      </c>
      <c r="G38" s="6">
        <v>4</v>
      </c>
      <c r="H38" s="6">
        <v>2242</v>
      </c>
      <c r="I38" s="8" t="s">
        <v>17</v>
      </c>
      <c r="J38" s="6" t="str">
        <f>IFERROR(_xlfn.XLOOKUP(Table1[[#This Row],[RestaurantID]],Table2[RestaurantID],Table2[RestaurantName]),"Unknown")</f>
        <v>Pasta Palace</v>
      </c>
      <c r="K38" s="6" t="str">
        <f>IFERROR(_xlfn.XLOOKUP(Table1[[#This Row],[RestaurantID]],Table2[RestaurantID],Table2[Category]),"Unknown")</f>
        <v>Italian</v>
      </c>
      <c r="L38" s="1">
        <f>IF(AND(Table1[[#This Row],[Status]]="Delivered",F38&lt;=40),1,0)</f>
        <v>1</v>
      </c>
    </row>
    <row r="39" spans="1:12" x14ac:dyDescent="0.3">
      <c r="A39" s="5" t="s">
        <v>72</v>
      </c>
      <c r="B39" s="6" t="s">
        <v>34</v>
      </c>
      <c r="C39" s="6" t="s">
        <v>32</v>
      </c>
      <c r="D39" s="6" t="s">
        <v>20</v>
      </c>
      <c r="E39" s="7">
        <v>46045</v>
      </c>
      <c r="F39" s="6">
        <v>40</v>
      </c>
      <c r="G39" s="6">
        <v>4.3</v>
      </c>
      <c r="H39" s="6">
        <v>2379</v>
      </c>
      <c r="I39" s="8" t="s">
        <v>17</v>
      </c>
      <c r="J39" s="6" t="str">
        <f>IFERROR(_xlfn.XLOOKUP(Table1[[#This Row],[RestaurantID]],Table2[RestaurantID],Table2[RestaurantName]),"Unknown")</f>
        <v>Roma Kitchen</v>
      </c>
      <c r="K39" s="6" t="str">
        <f>IFERROR(_xlfn.XLOOKUP(Table1[[#This Row],[RestaurantID]],Table2[RestaurantID],Table2[Category]),"Unknown")</f>
        <v>Italian</v>
      </c>
      <c r="L39" s="1">
        <f>IF(AND(Table1[[#This Row],[Status]]="Delivered",F39&lt;=40),1,0)</f>
        <v>1</v>
      </c>
    </row>
    <row r="40" spans="1:12" x14ac:dyDescent="0.3">
      <c r="A40" s="5" t="s">
        <v>73</v>
      </c>
      <c r="B40" s="6" t="s">
        <v>36</v>
      </c>
      <c r="C40" s="6" t="s">
        <v>32</v>
      </c>
      <c r="D40" s="6" t="s">
        <v>24</v>
      </c>
      <c r="E40" s="7">
        <v>46048</v>
      </c>
      <c r="F40" s="6">
        <v>47</v>
      </c>
      <c r="G40" s="6">
        <v>4.5999999999999996</v>
      </c>
      <c r="H40" s="6">
        <v>2516</v>
      </c>
      <c r="I40" s="8" t="s">
        <v>17</v>
      </c>
      <c r="J40" s="6" t="str">
        <f>IFERROR(_xlfn.XLOOKUP(Table1[[#This Row],[RestaurantID]],Table2[RestaurantID],Table2[RestaurantName]),"Unknown")</f>
        <v>Bella Italia</v>
      </c>
      <c r="K40" s="6" t="str">
        <f>IFERROR(_xlfn.XLOOKUP(Table1[[#This Row],[RestaurantID]],Table2[RestaurantID],Table2[Category]),"Unknown")</f>
        <v>Italian</v>
      </c>
      <c r="L40" s="1">
        <f>IF(AND(Table1[[#This Row],[Status]]="Delivered",F40&lt;=40),1,0)</f>
        <v>0</v>
      </c>
    </row>
    <row r="41" spans="1:12" x14ac:dyDescent="0.3">
      <c r="A41" s="5" t="s">
        <v>74</v>
      </c>
      <c r="B41" s="6" t="s">
        <v>38</v>
      </c>
      <c r="C41" s="6" t="s">
        <v>39</v>
      </c>
      <c r="D41" s="6" t="s">
        <v>27</v>
      </c>
      <c r="E41" s="7">
        <v>46051</v>
      </c>
      <c r="F41" s="6">
        <v>27</v>
      </c>
      <c r="G41" s="6">
        <v>4.9000000000000004</v>
      </c>
      <c r="H41" s="6">
        <v>2653</v>
      </c>
      <c r="I41" s="8" t="s">
        <v>17</v>
      </c>
      <c r="J41" s="6" t="str">
        <f>IFERROR(_xlfn.XLOOKUP(Table1[[#This Row],[RestaurantID]],Table2[RestaurantID],Table2[RestaurantName]),"Unknown")</f>
        <v>Mexican Fiesta</v>
      </c>
      <c r="K41" s="6" t="str">
        <f>IFERROR(_xlfn.XLOOKUP(Table1[[#This Row],[RestaurantID]],Table2[RestaurantID],Table2[Category]),"Unknown")</f>
        <v>Mexican</v>
      </c>
      <c r="L41" s="1">
        <f>IF(AND(Table1[[#This Row],[Status]]="Delivered",F41&lt;=40),1,0)</f>
        <v>1</v>
      </c>
    </row>
    <row r="42" spans="1:12" x14ac:dyDescent="0.3">
      <c r="A42" s="5" t="s">
        <v>75</v>
      </c>
      <c r="B42" s="6" t="s">
        <v>41</v>
      </c>
      <c r="C42" s="6" t="s">
        <v>39</v>
      </c>
      <c r="D42" s="6" t="s">
        <v>12</v>
      </c>
      <c r="E42" s="7">
        <v>46054</v>
      </c>
      <c r="F42" s="6">
        <v>34</v>
      </c>
      <c r="G42" s="6">
        <v>3.5</v>
      </c>
      <c r="H42" s="6">
        <v>2790</v>
      </c>
      <c r="I42" s="8" t="s">
        <v>17</v>
      </c>
      <c r="J42" s="6" t="str">
        <f>IFERROR(_xlfn.XLOOKUP(Table1[[#This Row],[RestaurantID]],Table2[RestaurantID],Table2[RestaurantName]),"Unknown")</f>
        <v>Taco Town</v>
      </c>
      <c r="K42" s="6" t="str">
        <f>IFERROR(_xlfn.XLOOKUP(Table1[[#This Row],[RestaurantID]],Table2[RestaurantID],Table2[Category]),"Unknown")</f>
        <v>Mexican</v>
      </c>
      <c r="L42" s="1">
        <f>IF(AND(Table1[[#This Row],[Status]]="Delivered",F42&lt;=40),1,0)</f>
        <v>1</v>
      </c>
    </row>
    <row r="43" spans="1:12" x14ac:dyDescent="0.3">
      <c r="A43" s="5" t="s">
        <v>76</v>
      </c>
      <c r="B43" s="6" t="s">
        <v>43</v>
      </c>
      <c r="C43" s="6" t="s">
        <v>39</v>
      </c>
      <c r="D43" s="6" t="s">
        <v>16</v>
      </c>
      <c r="E43" s="7">
        <v>46057</v>
      </c>
      <c r="F43" s="6">
        <v>41</v>
      </c>
      <c r="G43" s="6">
        <v>3.8</v>
      </c>
      <c r="H43" s="6">
        <v>2927</v>
      </c>
      <c r="I43" s="8" t="s">
        <v>17</v>
      </c>
      <c r="J43" s="6" t="str">
        <f>IFERROR(_xlfn.XLOOKUP(Table1[[#This Row],[RestaurantID]],Table2[RestaurantID],Table2[RestaurantName]),"Unknown")</f>
        <v>Casa Mexicana</v>
      </c>
      <c r="K43" s="6" t="str">
        <f>IFERROR(_xlfn.XLOOKUP(Table1[[#This Row],[RestaurantID]],Table2[RestaurantID],Table2[Category]),"Unknown")</f>
        <v>Mexican</v>
      </c>
      <c r="L43" s="1">
        <f>IF(AND(Table1[[#This Row],[Status]]="Delivered",F43&lt;=40),1,0)</f>
        <v>0</v>
      </c>
    </row>
    <row r="44" spans="1:12" x14ac:dyDescent="0.3">
      <c r="A44" s="5" t="s">
        <v>77</v>
      </c>
      <c r="B44" s="6" t="s">
        <v>45</v>
      </c>
      <c r="C44" s="6" t="s">
        <v>11</v>
      </c>
      <c r="D44" s="6" t="s">
        <v>24</v>
      </c>
      <c r="E44" s="7">
        <v>46060</v>
      </c>
      <c r="F44" s="6">
        <v>48</v>
      </c>
      <c r="G44" s="6">
        <v>4.0999999999999996</v>
      </c>
      <c r="H44" s="6">
        <v>3064</v>
      </c>
      <c r="I44" s="8" t="s">
        <v>17</v>
      </c>
      <c r="J44" s="6" t="str">
        <f>IFERROR(_xlfn.XLOOKUP(Table1[[#This Row],[RestaurantID]],Table2[RestaurantID],Table2[RestaurantName]),"Unknown")</f>
        <v>Masala House</v>
      </c>
      <c r="K44" s="6" t="str">
        <f>IFERROR(_xlfn.XLOOKUP(Table1[[#This Row],[RestaurantID]],Table2[RestaurantID],Table2[Category]),"Unknown")</f>
        <v>Indian</v>
      </c>
      <c r="L44" s="1">
        <f>IF(AND(Table1[[#This Row],[Status]]="Delivered",F44&lt;=40),1,0)</f>
        <v>0</v>
      </c>
    </row>
    <row r="45" spans="1:12" x14ac:dyDescent="0.3">
      <c r="A45" s="5" t="s">
        <v>78</v>
      </c>
      <c r="B45" s="6" t="s">
        <v>47</v>
      </c>
      <c r="C45" s="6" t="s">
        <v>23</v>
      </c>
      <c r="D45" s="6" t="s">
        <v>20</v>
      </c>
      <c r="E45" s="7">
        <v>46063</v>
      </c>
      <c r="F45" s="6">
        <v>28</v>
      </c>
      <c r="G45" s="6">
        <v>4.4000000000000004</v>
      </c>
      <c r="H45" s="6">
        <v>3201</v>
      </c>
      <c r="I45" s="8" t="s">
        <v>17</v>
      </c>
      <c r="J45" s="6" t="str">
        <f>IFERROR(_xlfn.XLOOKUP(Table1[[#This Row],[RestaurantID]],Table2[RestaurantID],Table2[RestaurantName]),"Unknown")</f>
        <v>Wok Express</v>
      </c>
      <c r="K45" s="6" t="str">
        <f>IFERROR(_xlfn.XLOOKUP(Table1[[#This Row],[RestaurantID]],Table2[RestaurantID],Table2[Category]),"Unknown")</f>
        <v>Chinese</v>
      </c>
      <c r="L45" s="1">
        <f>IF(AND(Table1[[#This Row],[Status]]="Delivered",F45&lt;=40),1,0)</f>
        <v>1</v>
      </c>
    </row>
    <row r="46" spans="1:12" x14ac:dyDescent="0.3">
      <c r="A46" s="5" t="s">
        <v>79</v>
      </c>
      <c r="B46" s="6" t="s">
        <v>49</v>
      </c>
      <c r="C46" s="6" t="s">
        <v>32</v>
      </c>
      <c r="D46" s="6" t="s">
        <v>27</v>
      </c>
      <c r="E46" s="7">
        <v>46066</v>
      </c>
      <c r="F46" s="6">
        <v>35</v>
      </c>
      <c r="G46" s="6">
        <v>4.7</v>
      </c>
      <c r="H46" s="6">
        <v>3338</v>
      </c>
      <c r="I46" s="8" t="s">
        <v>17</v>
      </c>
      <c r="J46" s="6" t="str">
        <f>IFERROR(_xlfn.XLOOKUP(Table1[[#This Row],[RestaurantID]],Table2[RestaurantID],Table2[RestaurantName]),"Unknown")</f>
        <v>Pasta Street</v>
      </c>
      <c r="K46" s="6" t="str">
        <f>IFERROR(_xlfn.XLOOKUP(Table1[[#This Row],[RestaurantID]],Table2[RestaurantID],Table2[Category]),"Unknown")</f>
        <v>Italian</v>
      </c>
      <c r="L46" s="1">
        <f>IF(AND(Table1[[#This Row],[Status]]="Delivered",F46&lt;=40),1,0)</f>
        <v>1</v>
      </c>
    </row>
    <row r="47" spans="1:12" x14ac:dyDescent="0.3">
      <c r="A47" s="5" t="s">
        <v>80</v>
      </c>
      <c r="B47" s="6" t="s">
        <v>10</v>
      </c>
      <c r="C47" s="6" t="s">
        <v>11</v>
      </c>
      <c r="D47" s="6" t="s">
        <v>12</v>
      </c>
      <c r="E47" s="7">
        <v>46069</v>
      </c>
      <c r="F47" s="6">
        <v>42</v>
      </c>
      <c r="G47" s="6">
        <v>3.3</v>
      </c>
      <c r="H47" s="6">
        <v>3475</v>
      </c>
      <c r="I47" s="8" t="s">
        <v>17</v>
      </c>
      <c r="J47" s="6" t="str">
        <f>IFERROR(_xlfn.XLOOKUP(Table1[[#This Row],[RestaurantID]],Table2[RestaurantID],Table2[RestaurantName]),"Unknown")</f>
        <v>Spice Villa</v>
      </c>
      <c r="K47" s="6" t="str">
        <f>IFERROR(_xlfn.XLOOKUP(Table1[[#This Row],[RestaurantID]],Table2[RestaurantID],Table2[Category]),"Unknown")</f>
        <v>Indian</v>
      </c>
      <c r="L47" s="1">
        <f>IF(AND(Table1[[#This Row],[Status]]="Delivered",F47&lt;=40),1,0)</f>
        <v>0</v>
      </c>
    </row>
    <row r="48" spans="1:12" x14ac:dyDescent="0.3">
      <c r="A48" s="5" t="s">
        <v>81</v>
      </c>
      <c r="B48" s="6" t="s">
        <v>15</v>
      </c>
      <c r="C48" s="6" t="s">
        <v>11</v>
      </c>
      <c r="D48" s="6" t="s">
        <v>16</v>
      </c>
      <c r="E48" s="7">
        <v>46072</v>
      </c>
      <c r="F48" s="6">
        <v>49</v>
      </c>
      <c r="G48" s="6">
        <v>3.6</v>
      </c>
      <c r="H48" s="6">
        <v>472</v>
      </c>
      <c r="I48" s="8" t="s">
        <v>17</v>
      </c>
      <c r="J48" s="6" t="str">
        <f>IFERROR(_xlfn.XLOOKUP(Table1[[#This Row],[RestaurantID]],Table2[RestaurantID],Table2[RestaurantName]),"Unknown")</f>
        <v>Tandoori Tales</v>
      </c>
      <c r="K48" s="6" t="str">
        <f>IFERROR(_xlfn.XLOOKUP(Table1[[#This Row],[RestaurantID]],Table2[RestaurantID],Table2[Category]),"Unknown")</f>
        <v>Indian</v>
      </c>
      <c r="L48" s="1">
        <f>IF(AND(Table1[[#This Row],[Status]]="Delivered",F48&lt;=40),1,0)</f>
        <v>0</v>
      </c>
    </row>
    <row r="49" spans="1:12" x14ac:dyDescent="0.3">
      <c r="A49" s="5" t="s">
        <v>82</v>
      </c>
      <c r="B49" s="6" t="s">
        <v>19</v>
      </c>
      <c r="C49" s="6" t="s">
        <v>11</v>
      </c>
      <c r="D49" s="6" t="s">
        <v>20</v>
      </c>
      <c r="E49" s="7">
        <v>46075</v>
      </c>
      <c r="F49" s="6">
        <v>29</v>
      </c>
      <c r="G49" s="6">
        <v>3.9</v>
      </c>
      <c r="H49" s="6">
        <v>609</v>
      </c>
      <c r="I49" s="8" t="s">
        <v>17</v>
      </c>
      <c r="J49" s="6" t="str">
        <f>IFERROR(_xlfn.XLOOKUP(Table1[[#This Row],[RestaurantID]],Table2[RestaurantID],Table2[RestaurantName]),"Unknown")</f>
        <v>Curry Corner</v>
      </c>
      <c r="K49" s="6" t="str">
        <f>IFERROR(_xlfn.XLOOKUP(Table1[[#This Row],[RestaurantID]],Table2[RestaurantID],Table2[Category]),"Unknown")</f>
        <v>Indian</v>
      </c>
      <c r="L49" s="1">
        <f>IF(AND(Table1[[#This Row],[Status]]="Delivered",F49&lt;=40),1,0)</f>
        <v>1</v>
      </c>
    </row>
    <row r="50" spans="1:12" x14ac:dyDescent="0.3">
      <c r="A50" s="5" t="s">
        <v>83</v>
      </c>
      <c r="B50" s="6" t="s">
        <v>22</v>
      </c>
      <c r="C50" s="6" t="s">
        <v>23</v>
      </c>
      <c r="D50" s="6" t="s">
        <v>24</v>
      </c>
      <c r="E50" s="7">
        <v>46078</v>
      </c>
      <c r="F50" s="6">
        <v>36</v>
      </c>
      <c r="G50" s="6">
        <v>4.2</v>
      </c>
      <c r="H50" s="6">
        <v>746</v>
      </c>
      <c r="I50" s="8" t="s">
        <v>17</v>
      </c>
      <c r="J50" s="6" t="str">
        <f>IFERROR(_xlfn.XLOOKUP(Table1[[#This Row],[RestaurantID]],Table2[RestaurantID],Table2[RestaurantName]),"Unknown")</f>
        <v>Urban Wok</v>
      </c>
      <c r="K50" s="6" t="str">
        <f>IFERROR(_xlfn.XLOOKUP(Table1[[#This Row],[RestaurantID]],Table2[RestaurantID],Table2[Category]),"Unknown")</f>
        <v>Chinese</v>
      </c>
      <c r="L50" s="1">
        <f>IF(AND(Table1[[#This Row],[Status]]="Delivered",F50&lt;=40),1,0)</f>
        <v>1</v>
      </c>
    </row>
    <row r="51" spans="1:12" x14ac:dyDescent="0.3">
      <c r="A51" s="5" t="s">
        <v>84</v>
      </c>
      <c r="B51" s="6" t="s">
        <v>26</v>
      </c>
      <c r="C51" s="6" t="s">
        <v>23</v>
      </c>
      <c r="D51" s="6" t="s">
        <v>27</v>
      </c>
      <c r="E51" s="7">
        <v>46081</v>
      </c>
      <c r="F51" s="6">
        <v>43</v>
      </c>
      <c r="G51" s="6">
        <v>4.5</v>
      </c>
      <c r="H51" s="6">
        <v>883</v>
      </c>
      <c r="I51" s="8" t="s">
        <v>17</v>
      </c>
      <c r="J51" s="6" t="str">
        <f>IFERROR(_xlfn.XLOOKUP(Table1[[#This Row],[RestaurantID]],Table2[RestaurantID],Table2[RestaurantName]),"Unknown")</f>
        <v>Dragon Bowl</v>
      </c>
      <c r="K51" s="6" t="str">
        <f>IFERROR(_xlfn.XLOOKUP(Table1[[#This Row],[RestaurantID]],Table2[RestaurantID],Table2[Category]),"Unknown")</f>
        <v>Chinese</v>
      </c>
      <c r="L51" s="1">
        <f>IF(AND(Table1[[#This Row],[Status]]="Delivered",F51&lt;=40),1,0)</f>
        <v>0</v>
      </c>
    </row>
    <row r="52" spans="1:12" x14ac:dyDescent="0.3">
      <c r="A52" s="5" t="s">
        <v>85</v>
      </c>
      <c r="B52" s="6" t="s">
        <v>29</v>
      </c>
      <c r="C52" s="6" t="s">
        <v>23</v>
      </c>
      <c r="D52" s="6" t="s">
        <v>12</v>
      </c>
      <c r="E52" s="7">
        <v>46084</v>
      </c>
      <c r="F52" s="6">
        <v>23</v>
      </c>
      <c r="G52" s="6">
        <v>4.8</v>
      </c>
      <c r="H52" s="6">
        <v>1020</v>
      </c>
      <c r="I52" s="8" t="s">
        <v>17</v>
      </c>
      <c r="J52" s="6" t="str">
        <f>IFERROR(_xlfn.XLOOKUP(Table1[[#This Row],[RestaurantID]],Table2[RestaurantID],Table2[RestaurantName]),"Unknown")</f>
        <v>Golden Wok</v>
      </c>
      <c r="K52" s="6" t="str">
        <f>IFERROR(_xlfn.XLOOKUP(Table1[[#This Row],[RestaurantID]],Table2[RestaurantID],Table2[Category]),"Unknown")</f>
        <v>Chinese</v>
      </c>
      <c r="L52" s="1">
        <f>IF(AND(Table1[[#This Row],[Status]]="Delivered",F52&lt;=40),1,0)</f>
        <v>1</v>
      </c>
    </row>
    <row r="53" spans="1:12" x14ac:dyDescent="0.3">
      <c r="A53" s="5" t="s">
        <v>86</v>
      </c>
      <c r="B53" s="6" t="s">
        <v>31</v>
      </c>
      <c r="C53" s="6" t="s">
        <v>32</v>
      </c>
      <c r="D53" s="6" t="s">
        <v>16</v>
      </c>
      <c r="E53" s="7">
        <v>46087</v>
      </c>
      <c r="F53" s="6">
        <v>30</v>
      </c>
      <c r="G53" s="6">
        <v>3.4</v>
      </c>
      <c r="H53" s="6">
        <v>1157</v>
      </c>
      <c r="I53" s="8" t="s">
        <v>17</v>
      </c>
      <c r="J53" s="6" t="str">
        <f>IFERROR(_xlfn.XLOOKUP(Table1[[#This Row],[RestaurantID]],Table2[RestaurantID],Table2[RestaurantName]),"Unknown")</f>
        <v>Pasta Palace</v>
      </c>
      <c r="K53" s="6" t="str">
        <f>IFERROR(_xlfn.XLOOKUP(Table1[[#This Row],[RestaurantID]],Table2[RestaurantID],Table2[Category]),"Unknown")</f>
        <v>Italian</v>
      </c>
      <c r="L53" s="1">
        <f>IF(AND(Table1[[#This Row],[Status]]="Delivered",F53&lt;=40),1,0)</f>
        <v>1</v>
      </c>
    </row>
    <row r="54" spans="1:12" x14ac:dyDescent="0.3">
      <c r="A54" s="5" t="s">
        <v>87</v>
      </c>
      <c r="B54" s="6" t="s">
        <v>34</v>
      </c>
      <c r="C54" s="6" t="s">
        <v>32</v>
      </c>
      <c r="D54" s="6" t="s">
        <v>20</v>
      </c>
      <c r="E54" s="7">
        <v>46090</v>
      </c>
      <c r="F54" s="6">
        <v>37</v>
      </c>
      <c r="G54" s="6">
        <v>3.7</v>
      </c>
      <c r="H54" s="6">
        <v>1294</v>
      </c>
      <c r="I54" s="8" t="s">
        <v>17</v>
      </c>
      <c r="J54" s="6" t="str">
        <f>IFERROR(_xlfn.XLOOKUP(Table1[[#This Row],[RestaurantID]],Table2[RestaurantID],Table2[RestaurantName]),"Unknown")</f>
        <v>Roma Kitchen</v>
      </c>
      <c r="K54" s="6" t="str">
        <f>IFERROR(_xlfn.XLOOKUP(Table1[[#This Row],[RestaurantID]],Table2[RestaurantID],Table2[Category]),"Unknown")</f>
        <v>Italian</v>
      </c>
      <c r="L54" s="1">
        <f>IF(AND(Table1[[#This Row],[Status]]="Delivered",F54&lt;=40),1,0)</f>
        <v>1</v>
      </c>
    </row>
    <row r="55" spans="1:12" x14ac:dyDescent="0.3">
      <c r="A55" s="5" t="s">
        <v>88</v>
      </c>
      <c r="B55" s="6" t="s">
        <v>36</v>
      </c>
      <c r="C55" s="6" t="s">
        <v>32</v>
      </c>
      <c r="D55" s="6" t="s">
        <v>24</v>
      </c>
      <c r="E55" s="7">
        <v>46093</v>
      </c>
      <c r="F55" s="6">
        <v>44</v>
      </c>
      <c r="G55" s="6">
        <v>4</v>
      </c>
      <c r="H55" s="6">
        <v>1431</v>
      </c>
      <c r="I55" s="8" t="s">
        <v>17</v>
      </c>
      <c r="J55" s="6" t="str">
        <f>IFERROR(_xlfn.XLOOKUP(Table1[[#This Row],[RestaurantID]],Table2[RestaurantID],Table2[RestaurantName]),"Unknown")</f>
        <v>Bella Italia</v>
      </c>
      <c r="K55" s="6" t="str">
        <f>IFERROR(_xlfn.XLOOKUP(Table1[[#This Row],[RestaurantID]],Table2[RestaurantID],Table2[Category]),"Unknown")</f>
        <v>Italian</v>
      </c>
      <c r="L55" s="1">
        <f>IF(AND(Table1[[#This Row],[Status]]="Delivered",F55&lt;=40),1,0)</f>
        <v>0</v>
      </c>
    </row>
    <row r="56" spans="1:12" x14ac:dyDescent="0.3">
      <c r="A56" s="5" t="s">
        <v>89</v>
      </c>
      <c r="B56" s="6" t="s">
        <v>38</v>
      </c>
      <c r="C56" s="6" t="s">
        <v>39</v>
      </c>
      <c r="D56" s="6" t="s">
        <v>27</v>
      </c>
      <c r="E56" s="7">
        <v>46096</v>
      </c>
      <c r="F56" s="6">
        <v>24</v>
      </c>
      <c r="G56" s="6">
        <v>4.3</v>
      </c>
      <c r="H56" s="6">
        <v>1568</v>
      </c>
      <c r="I56" s="8" t="s">
        <v>17</v>
      </c>
      <c r="J56" s="6" t="str">
        <f>IFERROR(_xlfn.XLOOKUP(Table1[[#This Row],[RestaurantID]],Table2[RestaurantID],Table2[RestaurantName]),"Unknown")</f>
        <v>Mexican Fiesta</v>
      </c>
      <c r="K56" s="6" t="str">
        <f>IFERROR(_xlfn.XLOOKUP(Table1[[#This Row],[RestaurantID]],Table2[RestaurantID],Table2[Category]),"Unknown")</f>
        <v>Mexican</v>
      </c>
      <c r="L56" s="1">
        <f>IF(AND(Table1[[#This Row],[Status]]="Delivered",F56&lt;=40),1,0)</f>
        <v>1</v>
      </c>
    </row>
    <row r="57" spans="1:12" x14ac:dyDescent="0.3">
      <c r="A57" s="5" t="s">
        <v>90</v>
      </c>
      <c r="B57" s="6" t="s">
        <v>41</v>
      </c>
      <c r="C57" s="6" t="s">
        <v>39</v>
      </c>
      <c r="D57" s="6" t="s">
        <v>12</v>
      </c>
      <c r="E57" s="7">
        <v>46099</v>
      </c>
      <c r="F57" s="6">
        <v>31</v>
      </c>
      <c r="G57" s="6">
        <v>4.5999999999999996</v>
      </c>
      <c r="H57" s="6">
        <v>1705</v>
      </c>
      <c r="I57" s="8" t="s">
        <v>17</v>
      </c>
      <c r="J57" s="6" t="str">
        <f>IFERROR(_xlfn.XLOOKUP(Table1[[#This Row],[RestaurantID]],Table2[RestaurantID],Table2[RestaurantName]),"Unknown")</f>
        <v>Taco Town</v>
      </c>
      <c r="K57" s="6" t="str">
        <f>IFERROR(_xlfn.XLOOKUP(Table1[[#This Row],[RestaurantID]],Table2[RestaurantID],Table2[Category]),"Unknown")</f>
        <v>Mexican</v>
      </c>
      <c r="L57" s="1">
        <f>IF(AND(Table1[[#This Row],[Status]]="Delivered",F57&lt;=40),1,0)</f>
        <v>1</v>
      </c>
    </row>
    <row r="58" spans="1:12" x14ac:dyDescent="0.3">
      <c r="A58" s="5" t="s">
        <v>91</v>
      </c>
      <c r="B58" s="6" t="s">
        <v>43</v>
      </c>
      <c r="C58" s="6" t="s">
        <v>39</v>
      </c>
      <c r="D58" s="6" t="s">
        <v>16</v>
      </c>
      <c r="E58" s="7">
        <v>46102</v>
      </c>
      <c r="F58" s="6">
        <v>38</v>
      </c>
      <c r="G58" s="6">
        <v>4.9000000000000004</v>
      </c>
      <c r="H58" s="6">
        <v>1842</v>
      </c>
      <c r="I58" s="8" t="s">
        <v>17</v>
      </c>
      <c r="J58" s="6" t="str">
        <f>IFERROR(_xlfn.XLOOKUP(Table1[[#This Row],[RestaurantID]],Table2[RestaurantID],Table2[RestaurantName]),"Unknown")</f>
        <v>Casa Mexicana</v>
      </c>
      <c r="K58" s="6" t="str">
        <f>IFERROR(_xlfn.XLOOKUP(Table1[[#This Row],[RestaurantID]],Table2[RestaurantID],Table2[Category]),"Unknown")</f>
        <v>Mexican</v>
      </c>
      <c r="L58" s="1">
        <f>IF(AND(Table1[[#This Row],[Status]]="Delivered",F58&lt;=40),1,0)</f>
        <v>1</v>
      </c>
    </row>
    <row r="59" spans="1:12" x14ac:dyDescent="0.3">
      <c r="A59" s="5" t="s">
        <v>92</v>
      </c>
      <c r="B59" s="6" t="s">
        <v>45</v>
      </c>
      <c r="C59" s="6" t="s">
        <v>11</v>
      </c>
      <c r="D59" s="6" t="s">
        <v>24</v>
      </c>
      <c r="E59" s="7">
        <v>46105</v>
      </c>
      <c r="F59" s="6">
        <v>45</v>
      </c>
      <c r="G59" s="6">
        <v>3.5</v>
      </c>
      <c r="H59" s="6">
        <v>1979</v>
      </c>
      <c r="I59" s="8" t="s">
        <v>17</v>
      </c>
      <c r="J59" s="6" t="str">
        <f>IFERROR(_xlfn.XLOOKUP(Table1[[#This Row],[RestaurantID]],Table2[RestaurantID],Table2[RestaurantName]),"Unknown")</f>
        <v>Masala House</v>
      </c>
      <c r="K59" s="6" t="str">
        <f>IFERROR(_xlfn.XLOOKUP(Table1[[#This Row],[RestaurantID]],Table2[RestaurantID],Table2[Category]),"Unknown")</f>
        <v>Indian</v>
      </c>
      <c r="L59" s="1">
        <f>IF(AND(Table1[[#This Row],[Status]]="Delivered",F59&lt;=40),1,0)</f>
        <v>0</v>
      </c>
    </row>
    <row r="60" spans="1:12" x14ac:dyDescent="0.3">
      <c r="A60" s="5" t="s">
        <v>93</v>
      </c>
      <c r="B60" s="6" t="s">
        <v>47</v>
      </c>
      <c r="C60" s="6" t="s">
        <v>23</v>
      </c>
      <c r="D60" s="6" t="s">
        <v>20</v>
      </c>
      <c r="E60" s="7">
        <v>46108</v>
      </c>
      <c r="F60" s="6">
        <v>25</v>
      </c>
      <c r="G60" s="6">
        <v>3.8</v>
      </c>
      <c r="H60" s="6">
        <v>2116</v>
      </c>
      <c r="I60" s="8" t="s">
        <v>17</v>
      </c>
      <c r="J60" s="6" t="str">
        <f>IFERROR(_xlfn.XLOOKUP(Table1[[#This Row],[RestaurantID]],Table2[RestaurantID],Table2[RestaurantName]),"Unknown")</f>
        <v>Wok Express</v>
      </c>
      <c r="K60" s="6" t="str">
        <f>IFERROR(_xlfn.XLOOKUP(Table1[[#This Row],[RestaurantID]],Table2[RestaurantID],Table2[Category]),"Unknown")</f>
        <v>Chinese</v>
      </c>
      <c r="L60" s="1">
        <f>IF(AND(Table1[[#This Row],[Status]]="Delivered",F60&lt;=40),1,0)</f>
        <v>1</v>
      </c>
    </row>
    <row r="61" spans="1:12" x14ac:dyDescent="0.3">
      <c r="A61" s="5" t="s">
        <v>94</v>
      </c>
      <c r="B61" s="6" t="s">
        <v>49</v>
      </c>
      <c r="C61" s="6" t="s">
        <v>32</v>
      </c>
      <c r="D61" s="6" t="s">
        <v>27</v>
      </c>
      <c r="E61" s="7">
        <v>46111</v>
      </c>
      <c r="F61" s="6">
        <v>32</v>
      </c>
      <c r="G61" s="6">
        <v>4.0999999999999996</v>
      </c>
      <c r="H61" s="6">
        <v>2253</v>
      </c>
      <c r="I61" s="8" t="s">
        <v>17</v>
      </c>
      <c r="J61" s="6" t="str">
        <f>IFERROR(_xlfn.XLOOKUP(Table1[[#This Row],[RestaurantID]],Table2[RestaurantID],Table2[RestaurantName]),"Unknown")</f>
        <v>Pasta Street</v>
      </c>
      <c r="K61" s="6" t="str">
        <f>IFERROR(_xlfn.XLOOKUP(Table1[[#This Row],[RestaurantID]],Table2[RestaurantID],Table2[Category]),"Unknown")</f>
        <v>Italian</v>
      </c>
      <c r="L61" s="1">
        <f>IF(AND(Table1[[#This Row],[Status]]="Delivered",F61&lt;=40),1,0)</f>
        <v>1</v>
      </c>
    </row>
    <row r="62" spans="1:12" x14ac:dyDescent="0.3">
      <c r="A62" s="5" t="s">
        <v>95</v>
      </c>
      <c r="B62" s="6" t="s">
        <v>10</v>
      </c>
      <c r="C62" s="6" t="s">
        <v>11</v>
      </c>
      <c r="D62" s="6" t="s">
        <v>12</v>
      </c>
      <c r="E62" s="7">
        <v>46024</v>
      </c>
      <c r="F62" s="6">
        <v>39</v>
      </c>
      <c r="G62" s="6">
        <v>4.4000000000000004</v>
      </c>
      <c r="H62" s="6">
        <v>2390</v>
      </c>
      <c r="I62" s="8" t="s">
        <v>17</v>
      </c>
      <c r="J62" s="6" t="str">
        <f>IFERROR(_xlfn.XLOOKUP(Table1[[#This Row],[RestaurantID]],Table2[RestaurantID],Table2[RestaurantName]),"Unknown")</f>
        <v>Spice Villa</v>
      </c>
      <c r="K62" s="6" t="str">
        <f>IFERROR(_xlfn.XLOOKUP(Table1[[#This Row],[RestaurantID]],Table2[RestaurantID],Table2[Category]),"Unknown")</f>
        <v>Indian</v>
      </c>
      <c r="L62" s="1">
        <f>IF(AND(Table1[[#This Row],[Status]]="Delivered",F62&lt;=40),1,0)</f>
        <v>1</v>
      </c>
    </row>
    <row r="63" spans="1:12" x14ac:dyDescent="0.3">
      <c r="A63" s="5" t="s">
        <v>96</v>
      </c>
      <c r="B63" s="6" t="s">
        <v>15</v>
      </c>
      <c r="C63" s="6" t="s">
        <v>11</v>
      </c>
      <c r="D63" s="6" t="s">
        <v>16</v>
      </c>
      <c r="E63" s="7">
        <v>46027</v>
      </c>
      <c r="F63" s="6">
        <v>46</v>
      </c>
      <c r="G63" s="6">
        <v>4.7</v>
      </c>
      <c r="H63" s="6">
        <v>2527</v>
      </c>
      <c r="I63" s="8" t="s">
        <v>17</v>
      </c>
      <c r="J63" s="6" t="str">
        <f>IFERROR(_xlfn.XLOOKUP(Table1[[#This Row],[RestaurantID]],Table2[RestaurantID],Table2[RestaurantName]),"Unknown")</f>
        <v>Tandoori Tales</v>
      </c>
      <c r="K63" s="6" t="str">
        <f>IFERROR(_xlfn.XLOOKUP(Table1[[#This Row],[RestaurantID]],Table2[RestaurantID],Table2[Category]),"Unknown")</f>
        <v>Indian</v>
      </c>
      <c r="L63" s="1">
        <f>IF(AND(Table1[[#This Row],[Status]]="Delivered",F63&lt;=40),1,0)</f>
        <v>0</v>
      </c>
    </row>
    <row r="64" spans="1:12" x14ac:dyDescent="0.3">
      <c r="A64" s="5" t="s">
        <v>97</v>
      </c>
      <c r="B64" s="6" t="s">
        <v>19</v>
      </c>
      <c r="C64" s="6" t="s">
        <v>11</v>
      </c>
      <c r="D64" s="6" t="s">
        <v>20</v>
      </c>
      <c r="E64" s="7">
        <v>46030</v>
      </c>
      <c r="F64" s="6">
        <v>26</v>
      </c>
      <c r="G64" s="6">
        <v>3.3</v>
      </c>
      <c r="H64" s="6">
        <v>2664</v>
      </c>
      <c r="I64" s="8" t="s">
        <v>17</v>
      </c>
      <c r="J64" s="6" t="str">
        <f>IFERROR(_xlfn.XLOOKUP(Table1[[#This Row],[RestaurantID]],Table2[RestaurantID],Table2[RestaurantName]),"Unknown")</f>
        <v>Curry Corner</v>
      </c>
      <c r="K64" s="6" t="str">
        <f>IFERROR(_xlfn.XLOOKUP(Table1[[#This Row],[RestaurantID]],Table2[RestaurantID],Table2[Category]),"Unknown")</f>
        <v>Indian</v>
      </c>
      <c r="L64" s="1">
        <f>IF(AND(Table1[[#This Row],[Status]]="Delivered",F64&lt;=40),1,0)</f>
        <v>1</v>
      </c>
    </row>
    <row r="65" spans="1:12" x14ac:dyDescent="0.3">
      <c r="A65" s="5" t="s">
        <v>98</v>
      </c>
      <c r="B65" s="6" t="s">
        <v>22</v>
      </c>
      <c r="C65" s="6" t="s">
        <v>23</v>
      </c>
      <c r="D65" s="6" t="s">
        <v>24</v>
      </c>
      <c r="E65" s="7">
        <v>46033</v>
      </c>
      <c r="F65" s="6">
        <v>33</v>
      </c>
      <c r="G65" s="6">
        <v>3.6</v>
      </c>
      <c r="H65" s="6">
        <v>2801</v>
      </c>
      <c r="I65" s="8" t="s">
        <v>17</v>
      </c>
      <c r="J65" s="6" t="str">
        <f>IFERROR(_xlfn.XLOOKUP(Table1[[#This Row],[RestaurantID]],Table2[RestaurantID],Table2[RestaurantName]),"Unknown")</f>
        <v>Urban Wok</v>
      </c>
      <c r="K65" s="6" t="str">
        <f>IFERROR(_xlfn.XLOOKUP(Table1[[#This Row],[RestaurantID]],Table2[RestaurantID],Table2[Category]),"Unknown")</f>
        <v>Chinese</v>
      </c>
      <c r="L65" s="1">
        <f>IF(AND(Table1[[#This Row],[Status]]="Delivered",F65&lt;=40),1,0)</f>
        <v>1</v>
      </c>
    </row>
    <row r="66" spans="1:12" x14ac:dyDescent="0.3">
      <c r="A66" s="5" t="s">
        <v>99</v>
      </c>
      <c r="B66" s="6" t="s">
        <v>26</v>
      </c>
      <c r="C66" s="6" t="s">
        <v>23</v>
      </c>
      <c r="D66" s="6" t="s">
        <v>27</v>
      </c>
      <c r="E66" s="7">
        <v>46036</v>
      </c>
      <c r="F66" s="6">
        <v>40</v>
      </c>
      <c r="G66" s="6">
        <v>3.9</v>
      </c>
      <c r="H66" s="6">
        <v>2938</v>
      </c>
      <c r="I66" s="8" t="s">
        <v>17</v>
      </c>
      <c r="J66" s="6" t="str">
        <f>IFERROR(_xlfn.XLOOKUP(Table1[[#This Row],[RestaurantID]],Table2[RestaurantID],Table2[RestaurantName]),"Unknown")</f>
        <v>Dragon Bowl</v>
      </c>
      <c r="K66" s="6" t="str">
        <f>IFERROR(_xlfn.XLOOKUP(Table1[[#This Row],[RestaurantID]],Table2[RestaurantID],Table2[Category]),"Unknown")</f>
        <v>Chinese</v>
      </c>
      <c r="L66" s="1">
        <f>IF(AND(Table1[[#This Row],[Status]]="Delivered",F66&lt;=40),1,0)</f>
        <v>1</v>
      </c>
    </row>
    <row r="67" spans="1:12" x14ac:dyDescent="0.3">
      <c r="A67" s="5" t="s">
        <v>100</v>
      </c>
      <c r="B67" s="6" t="s">
        <v>29</v>
      </c>
      <c r="C67" s="6" t="s">
        <v>23</v>
      </c>
      <c r="D67" s="6" t="s">
        <v>12</v>
      </c>
      <c r="E67" s="7">
        <v>46039</v>
      </c>
      <c r="F67" s="6">
        <v>47</v>
      </c>
      <c r="G67" s="6">
        <v>4.2</v>
      </c>
      <c r="H67" s="6">
        <v>3075</v>
      </c>
      <c r="I67" s="8" t="s">
        <v>17</v>
      </c>
      <c r="J67" s="6" t="str">
        <f>IFERROR(_xlfn.XLOOKUP(Table1[[#This Row],[RestaurantID]],Table2[RestaurantID],Table2[RestaurantName]),"Unknown")</f>
        <v>Golden Wok</v>
      </c>
      <c r="K67" s="6" t="str">
        <f>IFERROR(_xlfn.XLOOKUP(Table1[[#This Row],[RestaurantID]],Table2[RestaurantID],Table2[Category]),"Unknown")</f>
        <v>Chinese</v>
      </c>
      <c r="L67" s="1">
        <f>IF(AND(Table1[[#This Row],[Status]]="Delivered",F67&lt;=40),1,0)</f>
        <v>0</v>
      </c>
    </row>
    <row r="68" spans="1:12" x14ac:dyDescent="0.3">
      <c r="A68" s="5" t="s">
        <v>101</v>
      </c>
      <c r="B68" s="6" t="s">
        <v>31</v>
      </c>
      <c r="C68" s="6" t="s">
        <v>32</v>
      </c>
      <c r="D68" s="6" t="s">
        <v>16</v>
      </c>
      <c r="E68" s="7">
        <v>46042</v>
      </c>
      <c r="F68" s="6">
        <v>27</v>
      </c>
      <c r="G68" s="6">
        <v>4.5</v>
      </c>
      <c r="H68" s="6">
        <v>3212</v>
      </c>
      <c r="I68" s="8" t="s">
        <v>17</v>
      </c>
      <c r="J68" s="6" t="str">
        <f>IFERROR(_xlfn.XLOOKUP(Table1[[#This Row],[RestaurantID]],Table2[RestaurantID],Table2[RestaurantName]),"Unknown")</f>
        <v>Pasta Palace</v>
      </c>
      <c r="K68" s="6" t="str">
        <f>IFERROR(_xlfn.XLOOKUP(Table1[[#This Row],[RestaurantID]],Table2[RestaurantID],Table2[Category]),"Unknown")</f>
        <v>Italian</v>
      </c>
      <c r="L68" s="1">
        <f>IF(AND(Table1[[#This Row],[Status]]="Delivered",F68&lt;=40),1,0)</f>
        <v>1</v>
      </c>
    </row>
    <row r="69" spans="1:12" x14ac:dyDescent="0.3">
      <c r="A69" s="5" t="s">
        <v>102</v>
      </c>
      <c r="B69" s="6" t="s">
        <v>34</v>
      </c>
      <c r="C69" s="6" t="s">
        <v>32</v>
      </c>
      <c r="D69" s="6" t="s">
        <v>20</v>
      </c>
      <c r="E69" s="7">
        <v>46045</v>
      </c>
      <c r="F69" s="6">
        <v>34</v>
      </c>
      <c r="G69" s="6">
        <v>4.8</v>
      </c>
      <c r="H69" s="6">
        <v>3349</v>
      </c>
      <c r="I69" s="8" t="s">
        <v>17</v>
      </c>
      <c r="J69" s="6" t="str">
        <f>IFERROR(_xlfn.XLOOKUP(Table1[[#This Row],[RestaurantID]],Table2[RestaurantID],Table2[RestaurantName]),"Unknown")</f>
        <v>Roma Kitchen</v>
      </c>
      <c r="K69" s="6" t="str">
        <f>IFERROR(_xlfn.XLOOKUP(Table1[[#This Row],[RestaurantID]],Table2[RestaurantID],Table2[Category]),"Unknown")</f>
        <v>Italian</v>
      </c>
      <c r="L69" s="1">
        <f>IF(AND(Table1[[#This Row],[Status]]="Delivered",F69&lt;=40),1,0)</f>
        <v>1</v>
      </c>
    </row>
    <row r="70" spans="1:12" x14ac:dyDescent="0.3">
      <c r="A70" s="5" t="s">
        <v>103</v>
      </c>
      <c r="B70" s="6" t="s">
        <v>36</v>
      </c>
      <c r="C70" s="6" t="s">
        <v>32</v>
      </c>
      <c r="D70" s="6" t="s">
        <v>24</v>
      </c>
      <c r="E70" s="7">
        <v>46048</v>
      </c>
      <c r="F70" s="6">
        <v>41</v>
      </c>
      <c r="G70" s="6">
        <v>3.4</v>
      </c>
      <c r="H70" s="6">
        <v>3486</v>
      </c>
      <c r="I70" s="8" t="s">
        <v>17</v>
      </c>
      <c r="J70" s="6" t="str">
        <f>IFERROR(_xlfn.XLOOKUP(Table1[[#This Row],[RestaurantID]],Table2[RestaurantID],Table2[RestaurantName]),"Unknown")</f>
        <v>Bella Italia</v>
      </c>
      <c r="K70" s="6" t="str">
        <f>IFERROR(_xlfn.XLOOKUP(Table1[[#This Row],[RestaurantID]],Table2[RestaurantID],Table2[Category]),"Unknown")</f>
        <v>Italian</v>
      </c>
      <c r="L70" s="1">
        <f>IF(AND(Table1[[#This Row],[Status]]="Delivered",F70&lt;=40),1,0)</f>
        <v>0</v>
      </c>
    </row>
    <row r="71" spans="1:12" x14ac:dyDescent="0.3">
      <c r="A71" s="5" t="s">
        <v>104</v>
      </c>
      <c r="B71" s="6" t="s">
        <v>38</v>
      </c>
      <c r="C71" s="6" t="s">
        <v>39</v>
      </c>
      <c r="D71" s="6" t="s">
        <v>27</v>
      </c>
      <c r="E71" s="7">
        <v>46051</v>
      </c>
      <c r="F71" s="6">
        <v>48</v>
      </c>
      <c r="G71" s="6">
        <v>3.7</v>
      </c>
      <c r="H71" s="6">
        <v>483</v>
      </c>
      <c r="I71" s="8" t="s">
        <v>13</v>
      </c>
      <c r="J71" s="6" t="str">
        <f>IFERROR(_xlfn.XLOOKUP(Table1[[#This Row],[RestaurantID]],Table2[RestaurantID],Table2[RestaurantName]),"Unknown")</f>
        <v>Mexican Fiesta</v>
      </c>
      <c r="K71" s="6" t="str">
        <f>IFERROR(_xlfn.XLOOKUP(Table1[[#This Row],[RestaurantID]],Table2[RestaurantID],Table2[Category]),"Unknown")</f>
        <v>Mexican</v>
      </c>
      <c r="L71" s="1">
        <f>IF(AND(Table1[[#This Row],[Status]]="Delivered",F71&lt;=40),1,0)</f>
        <v>0</v>
      </c>
    </row>
    <row r="72" spans="1:12" x14ac:dyDescent="0.3">
      <c r="A72" s="5" t="s">
        <v>105</v>
      </c>
      <c r="B72" s="6" t="s">
        <v>41</v>
      </c>
      <c r="C72" s="6" t="s">
        <v>39</v>
      </c>
      <c r="D72" s="6" t="s">
        <v>12</v>
      </c>
      <c r="E72" s="7">
        <v>46054</v>
      </c>
      <c r="F72" s="6">
        <v>28</v>
      </c>
      <c r="G72" s="6">
        <v>4</v>
      </c>
      <c r="H72" s="6">
        <v>620</v>
      </c>
      <c r="I72" s="8" t="s">
        <v>17</v>
      </c>
      <c r="J72" s="6" t="str">
        <f>IFERROR(_xlfn.XLOOKUP(Table1[[#This Row],[RestaurantID]],Table2[RestaurantID],Table2[RestaurantName]),"Unknown")</f>
        <v>Taco Town</v>
      </c>
      <c r="K72" s="6" t="str">
        <f>IFERROR(_xlfn.XLOOKUP(Table1[[#This Row],[RestaurantID]],Table2[RestaurantID],Table2[Category]),"Unknown")</f>
        <v>Mexican</v>
      </c>
      <c r="L72" s="1">
        <f>IF(AND(Table1[[#This Row],[Status]]="Delivered",F72&lt;=40),1,0)</f>
        <v>1</v>
      </c>
    </row>
    <row r="73" spans="1:12" x14ac:dyDescent="0.3">
      <c r="A73" s="5" t="s">
        <v>106</v>
      </c>
      <c r="B73" s="6" t="s">
        <v>43</v>
      </c>
      <c r="C73" s="6" t="s">
        <v>39</v>
      </c>
      <c r="D73" s="6" t="s">
        <v>16</v>
      </c>
      <c r="E73" s="7">
        <v>46057</v>
      </c>
      <c r="F73" s="6">
        <v>35</v>
      </c>
      <c r="G73" s="6">
        <v>4.3</v>
      </c>
      <c r="H73" s="6">
        <v>757</v>
      </c>
      <c r="I73" s="8" t="s">
        <v>17</v>
      </c>
      <c r="J73" s="6" t="str">
        <f>IFERROR(_xlfn.XLOOKUP(Table1[[#This Row],[RestaurantID]],Table2[RestaurantID],Table2[RestaurantName]),"Unknown")</f>
        <v>Casa Mexicana</v>
      </c>
      <c r="K73" s="6" t="str">
        <f>IFERROR(_xlfn.XLOOKUP(Table1[[#This Row],[RestaurantID]],Table2[RestaurantID],Table2[Category]),"Unknown")</f>
        <v>Mexican</v>
      </c>
      <c r="L73" s="1">
        <f>IF(AND(Table1[[#This Row],[Status]]="Delivered",F73&lt;=40),1,0)</f>
        <v>1</v>
      </c>
    </row>
    <row r="74" spans="1:12" x14ac:dyDescent="0.3">
      <c r="A74" s="5" t="s">
        <v>107</v>
      </c>
      <c r="B74" s="6" t="s">
        <v>45</v>
      </c>
      <c r="C74" s="6" t="s">
        <v>11</v>
      </c>
      <c r="D74" s="6" t="s">
        <v>24</v>
      </c>
      <c r="E74" s="7">
        <v>46060</v>
      </c>
      <c r="F74" s="6">
        <v>42</v>
      </c>
      <c r="G74" s="6">
        <v>4.5999999999999996</v>
      </c>
      <c r="H74" s="6">
        <v>894</v>
      </c>
      <c r="I74" s="8" t="s">
        <v>17</v>
      </c>
      <c r="J74" s="6" t="str">
        <f>IFERROR(_xlfn.XLOOKUP(Table1[[#This Row],[RestaurantID]],Table2[RestaurantID],Table2[RestaurantName]),"Unknown")</f>
        <v>Masala House</v>
      </c>
      <c r="K74" s="6" t="str">
        <f>IFERROR(_xlfn.XLOOKUP(Table1[[#This Row],[RestaurantID]],Table2[RestaurantID],Table2[Category]),"Unknown")</f>
        <v>Indian</v>
      </c>
      <c r="L74" s="1">
        <f>IF(AND(Table1[[#This Row],[Status]]="Delivered",F74&lt;=40),1,0)</f>
        <v>0</v>
      </c>
    </row>
    <row r="75" spans="1:12" x14ac:dyDescent="0.3">
      <c r="A75" s="5" t="s">
        <v>108</v>
      </c>
      <c r="B75" s="6" t="s">
        <v>47</v>
      </c>
      <c r="C75" s="6" t="s">
        <v>23</v>
      </c>
      <c r="D75" s="6" t="s">
        <v>20</v>
      </c>
      <c r="E75" s="7">
        <v>46063</v>
      </c>
      <c r="F75" s="6">
        <v>49</v>
      </c>
      <c r="G75" s="6">
        <v>4.9000000000000004</v>
      </c>
      <c r="H75" s="6">
        <v>1031</v>
      </c>
      <c r="I75" s="8" t="s">
        <v>17</v>
      </c>
      <c r="J75" s="6" t="str">
        <f>IFERROR(_xlfn.XLOOKUP(Table1[[#This Row],[RestaurantID]],Table2[RestaurantID],Table2[RestaurantName]),"Unknown")</f>
        <v>Wok Express</v>
      </c>
      <c r="K75" s="6" t="str">
        <f>IFERROR(_xlfn.XLOOKUP(Table1[[#This Row],[RestaurantID]],Table2[RestaurantID],Table2[Category]),"Unknown")</f>
        <v>Chinese</v>
      </c>
      <c r="L75" s="1">
        <f>IF(AND(Table1[[#This Row],[Status]]="Delivered",F75&lt;=40),1,0)</f>
        <v>0</v>
      </c>
    </row>
    <row r="76" spans="1:12" x14ac:dyDescent="0.3">
      <c r="A76" s="5" t="s">
        <v>109</v>
      </c>
      <c r="B76" s="6" t="s">
        <v>49</v>
      </c>
      <c r="C76" s="6" t="s">
        <v>32</v>
      </c>
      <c r="D76" s="6" t="s">
        <v>27</v>
      </c>
      <c r="E76" s="7">
        <v>46066</v>
      </c>
      <c r="F76" s="6">
        <v>29</v>
      </c>
      <c r="G76" s="6">
        <v>3.5</v>
      </c>
      <c r="H76" s="6">
        <v>1168</v>
      </c>
      <c r="I76" s="8" t="s">
        <v>17</v>
      </c>
      <c r="J76" s="6" t="str">
        <f>IFERROR(_xlfn.XLOOKUP(Table1[[#This Row],[RestaurantID]],Table2[RestaurantID],Table2[RestaurantName]),"Unknown")</f>
        <v>Pasta Street</v>
      </c>
      <c r="K76" s="6" t="str">
        <f>IFERROR(_xlfn.XLOOKUP(Table1[[#This Row],[RestaurantID]],Table2[RestaurantID],Table2[Category]),"Unknown")</f>
        <v>Italian</v>
      </c>
      <c r="L76" s="1">
        <f>IF(AND(Table1[[#This Row],[Status]]="Delivered",F76&lt;=40),1,0)</f>
        <v>1</v>
      </c>
    </row>
    <row r="77" spans="1:12" x14ac:dyDescent="0.3">
      <c r="A77" s="5" t="s">
        <v>110</v>
      </c>
      <c r="B77" s="6" t="s">
        <v>10</v>
      </c>
      <c r="C77" s="6" t="s">
        <v>11</v>
      </c>
      <c r="D77" s="6" t="s">
        <v>12</v>
      </c>
      <c r="E77" s="7">
        <v>46069</v>
      </c>
      <c r="F77" s="6">
        <v>36</v>
      </c>
      <c r="G77" s="6">
        <v>3.8</v>
      </c>
      <c r="H77" s="6">
        <v>1305</v>
      </c>
      <c r="I77" s="8" t="s">
        <v>17</v>
      </c>
      <c r="J77" s="6" t="str">
        <f>IFERROR(_xlfn.XLOOKUP(Table1[[#This Row],[RestaurantID]],Table2[RestaurantID],Table2[RestaurantName]),"Unknown")</f>
        <v>Spice Villa</v>
      </c>
      <c r="K77" s="6" t="str">
        <f>IFERROR(_xlfn.XLOOKUP(Table1[[#This Row],[RestaurantID]],Table2[RestaurantID],Table2[Category]),"Unknown")</f>
        <v>Indian</v>
      </c>
      <c r="L77" s="1">
        <f>IF(AND(Table1[[#This Row],[Status]]="Delivered",F77&lt;=40),1,0)</f>
        <v>1</v>
      </c>
    </row>
    <row r="78" spans="1:12" x14ac:dyDescent="0.3">
      <c r="A78" s="5" t="s">
        <v>111</v>
      </c>
      <c r="B78" s="6" t="s">
        <v>15</v>
      </c>
      <c r="C78" s="6" t="s">
        <v>11</v>
      </c>
      <c r="D78" s="6" t="s">
        <v>16</v>
      </c>
      <c r="E78" s="7">
        <v>46072</v>
      </c>
      <c r="F78" s="6">
        <v>43</v>
      </c>
      <c r="G78" s="6">
        <v>4.0999999999999996</v>
      </c>
      <c r="H78" s="6">
        <v>1442</v>
      </c>
      <c r="I78" s="8" t="s">
        <v>17</v>
      </c>
      <c r="J78" s="6" t="str">
        <f>IFERROR(_xlfn.XLOOKUP(Table1[[#This Row],[RestaurantID]],Table2[RestaurantID],Table2[RestaurantName]),"Unknown")</f>
        <v>Tandoori Tales</v>
      </c>
      <c r="K78" s="6" t="str">
        <f>IFERROR(_xlfn.XLOOKUP(Table1[[#This Row],[RestaurantID]],Table2[RestaurantID],Table2[Category]),"Unknown")</f>
        <v>Indian</v>
      </c>
      <c r="L78" s="1">
        <f>IF(AND(Table1[[#This Row],[Status]]="Delivered",F78&lt;=40),1,0)</f>
        <v>0</v>
      </c>
    </row>
    <row r="79" spans="1:12" x14ac:dyDescent="0.3">
      <c r="A79" s="5" t="s">
        <v>112</v>
      </c>
      <c r="B79" s="6" t="s">
        <v>19</v>
      </c>
      <c r="C79" s="6" t="s">
        <v>11</v>
      </c>
      <c r="D79" s="6" t="s">
        <v>20</v>
      </c>
      <c r="E79" s="7">
        <v>46075</v>
      </c>
      <c r="F79" s="6">
        <v>23</v>
      </c>
      <c r="G79" s="6">
        <v>4.4000000000000004</v>
      </c>
      <c r="H79" s="6">
        <v>1579</v>
      </c>
      <c r="I79" s="8" t="s">
        <v>17</v>
      </c>
      <c r="J79" s="6" t="str">
        <f>IFERROR(_xlfn.XLOOKUP(Table1[[#This Row],[RestaurantID]],Table2[RestaurantID],Table2[RestaurantName]),"Unknown")</f>
        <v>Curry Corner</v>
      </c>
      <c r="K79" s="6" t="str">
        <f>IFERROR(_xlfn.XLOOKUP(Table1[[#This Row],[RestaurantID]],Table2[RestaurantID],Table2[Category]),"Unknown")</f>
        <v>Indian</v>
      </c>
      <c r="L79" s="1">
        <f>IF(AND(Table1[[#This Row],[Status]]="Delivered",F79&lt;=40),1,0)</f>
        <v>1</v>
      </c>
    </row>
    <row r="80" spans="1:12" x14ac:dyDescent="0.3">
      <c r="A80" s="5" t="s">
        <v>113</v>
      </c>
      <c r="B80" s="6" t="s">
        <v>22</v>
      </c>
      <c r="C80" s="6" t="s">
        <v>23</v>
      </c>
      <c r="D80" s="6" t="s">
        <v>24</v>
      </c>
      <c r="E80" s="7">
        <v>46078</v>
      </c>
      <c r="F80" s="6">
        <v>30</v>
      </c>
      <c r="G80" s="6">
        <v>4.7</v>
      </c>
      <c r="H80" s="6">
        <v>1716</v>
      </c>
      <c r="I80" s="8" t="s">
        <v>17</v>
      </c>
      <c r="J80" s="6" t="str">
        <f>IFERROR(_xlfn.XLOOKUP(Table1[[#This Row],[RestaurantID]],Table2[RestaurantID],Table2[RestaurantName]),"Unknown")</f>
        <v>Urban Wok</v>
      </c>
      <c r="K80" s="6" t="str">
        <f>IFERROR(_xlfn.XLOOKUP(Table1[[#This Row],[RestaurantID]],Table2[RestaurantID],Table2[Category]),"Unknown")</f>
        <v>Chinese</v>
      </c>
      <c r="L80" s="1">
        <f>IF(AND(Table1[[#This Row],[Status]]="Delivered",F80&lt;=40),1,0)</f>
        <v>1</v>
      </c>
    </row>
    <row r="81" spans="1:12" x14ac:dyDescent="0.3">
      <c r="A81" s="5" t="s">
        <v>114</v>
      </c>
      <c r="B81" s="6" t="s">
        <v>26</v>
      </c>
      <c r="C81" s="6" t="s">
        <v>23</v>
      </c>
      <c r="D81" s="6" t="s">
        <v>27</v>
      </c>
      <c r="E81" s="7">
        <v>46081</v>
      </c>
      <c r="F81" s="6">
        <v>37</v>
      </c>
      <c r="G81" s="6">
        <v>3.3</v>
      </c>
      <c r="H81" s="6">
        <v>1853</v>
      </c>
      <c r="I81" s="8" t="s">
        <v>17</v>
      </c>
      <c r="J81" s="6" t="str">
        <f>IFERROR(_xlfn.XLOOKUP(Table1[[#This Row],[RestaurantID]],Table2[RestaurantID],Table2[RestaurantName]),"Unknown")</f>
        <v>Dragon Bowl</v>
      </c>
      <c r="K81" s="6" t="str">
        <f>IFERROR(_xlfn.XLOOKUP(Table1[[#This Row],[RestaurantID]],Table2[RestaurantID],Table2[Category]),"Unknown")</f>
        <v>Chinese</v>
      </c>
      <c r="L81" s="1">
        <f>IF(AND(Table1[[#This Row],[Status]]="Delivered",F81&lt;=40),1,0)</f>
        <v>1</v>
      </c>
    </row>
    <row r="82" spans="1:12" x14ac:dyDescent="0.3">
      <c r="A82" s="5" t="s">
        <v>115</v>
      </c>
      <c r="B82" s="6" t="s">
        <v>29</v>
      </c>
      <c r="C82" s="6" t="s">
        <v>23</v>
      </c>
      <c r="D82" s="6" t="s">
        <v>12</v>
      </c>
      <c r="E82" s="7">
        <v>46084</v>
      </c>
      <c r="F82" s="6">
        <v>44</v>
      </c>
      <c r="G82" s="6">
        <v>3.6</v>
      </c>
      <c r="H82" s="6">
        <v>1990</v>
      </c>
      <c r="I82" s="8" t="s">
        <v>17</v>
      </c>
      <c r="J82" s="6" t="str">
        <f>IFERROR(_xlfn.XLOOKUP(Table1[[#This Row],[RestaurantID]],Table2[RestaurantID],Table2[RestaurantName]),"Unknown")</f>
        <v>Golden Wok</v>
      </c>
      <c r="K82" s="6" t="str">
        <f>IFERROR(_xlfn.XLOOKUP(Table1[[#This Row],[RestaurantID]],Table2[RestaurantID],Table2[Category]),"Unknown")</f>
        <v>Chinese</v>
      </c>
      <c r="L82" s="1">
        <f>IF(AND(Table1[[#This Row],[Status]]="Delivered",F82&lt;=40),1,0)</f>
        <v>0</v>
      </c>
    </row>
    <row r="83" spans="1:12" x14ac:dyDescent="0.3">
      <c r="A83" s="5" t="s">
        <v>116</v>
      </c>
      <c r="B83" s="6" t="s">
        <v>31</v>
      </c>
      <c r="C83" s="6" t="s">
        <v>32</v>
      </c>
      <c r="D83" s="6" t="s">
        <v>16</v>
      </c>
      <c r="E83" s="7">
        <v>46087</v>
      </c>
      <c r="F83" s="6">
        <v>24</v>
      </c>
      <c r="G83" s="6">
        <v>3.9</v>
      </c>
      <c r="H83" s="6">
        <v>2127</v>
      </c>
      <c r="I83" s="8" t="s">
        <v>17</v>
      </c>
      <c r="J83" s="6" t="str">
        <f>IFERROR(_xlfn.XLOOKUP(Table1[[#This Row],[RestaurantID]],Table2[RestaurantID],Table2[RestaurantName]),"Unknown")</f>
        <v>Pasta Palace</v>
      </c>
      <c r="K83" s="6" t="str">
        <f>IFERROR(_xlfn.XLOOKUP(Table1[[#This Row],[RestaurantID]],Table2[RestaurantID],Table2[Category]),"Unknown")</f>
        <v>Italian</v>
      </c>
      <c r="L83" s="1">
        <f>IF(AND(Table1[[#This Row],[Status]]="Delivered",F83&lt;=40),1,0)</f>
        <v>1</v>
      </c>
    </row>
    <row r="84" spans="1:12" x14ac:dyDescent="0.3">
      <c r="A84" s="5" t="s">
        <v>117</v>
      </c>
      <c r="B84" s="6" t="s">
        <v>34</v>
      </c>
      <c r="C84" s="6" t="s">
        <v>32</v>
      </c>
      <c r="D84" s="6" t="s">
        <v>20</v>
      </c>
      <c r="E84" s="7">
        <v>46090</v>
      </c>
      <c r="F84" s="6">
        <v>31</v>
      </c>
      <c r="G84" s="6">
        <v>4.2</v>
      </c>
      <c r="H84" s="6">
        <v>2264</v>
      </c>
      <c r="I84" s="8" t="s">
        <v>17</v>
      </c>
      <c r="J84" s="6" t="str">
        <f>IFERROR(_xlfn.XLOOKUP(Table1[[#This Row],[RestaurantID]],Table2[RestaurantID],Table2[RestaurantName]),"Unknown")</f>
        <v>Roma Kitchen</v>
      </c>
      <c r="K84" s="6" t="str">
        <f>IFERROR(_xlfn.XLOOKUP(Table1[[#This Row],[RestaurantID]],Table2[RestaurantID],Table2[Category]),"Unknown")</f>
        <v>Italian</v>
      </c>
      <c r="L84" s="1">
        <f>IF(AND(Table1[[#This Row],[Status]]="Delivered",F84&lt;=40),1,0)</f>
        <v>1</v>
      </c>
    </row>
    <row r="85" spans="1:12" x14ac:dyDescent="0.3">
      <c r="A85" s="5" t="s">
        <v>118</v>
      </c>
      <c r="B85" s="6" t="s">
        <v>36</v>
      </c>
      <c r="C85" s="6" t="s">
        <v>32</v>
      </c>
      <c r="D85" s="6" t="s">
        <v>24</v>
      </c>
      <c r="E85" s="7">
        <v>46093</v>
      </c>
      <c r="F85" s="6">
        <v>38</v>
      </c>
      <c r="G85" s="6">
        <v>4.5</v>
      </c>
      <c r="H85" s="6">
        <v>2401</v>
      </c>
      <c r="I85" s="8" t="s">
        <v>17</v>
      </c>
      <c r="J85" s="6" t="str">
        <f>IFERROR(_xlfn.XLOOKUP(Table1[[#This Row],[RestaurantID]],Table2[RestaurantID],Table2[RestaurantName]),"Unknown")</f>
        <v>Bella Italia</v>
      </c>
      <c r="K85" s="6" t="str">
        <f>IFERROR(_xlfn.XLOOKUP(Table1[[#This Row],[RestaurantID]],Table2[RestaurantID],Table2[Category]),"Unknown")</f>
        <v>Italian</v>
      </c>
      <c r="L85" s="1">
        <f>IF(AND(Table1[[#This Row],[Status]]="Delivered",F85&lt;=40),1,0)</f>
        <v>1</v>
      </c>
    </row>
    <row r="86" spans="1:12" x14ac:dyDescent="0.3">
      <c r="A86" s="5" t="s">
        <v>119</v>
      </c>
      <c r="B86" s="6" t="s">
        <v>38</v>
      </c>
      <c r="C86" s="6" t="s">
        <v>39</v>
      </c>
      <c r="D86" s="6" t="s">
        <v>27</v>
      </c>
      <c r="E86" s="7">
        <v>46096</v>
      </c>
      <c r="F86" s="6">
        <v>45</v>
      </c>
      <c r="G86" s="6">
        <v>4.8</v>
      </c>
      <c r="H86" s="6">
        <v>2538</v>
      </c>
      <c r="I86" s="8" t="s">
        <v>17</v>
      </c>
      <c r="J86" s="6" t="str">
        <f>IFERROR(_xlfn.XLOOKUP(Table1[[#This Row],[RestaurantID]],Table2[RestaurantID],Table2[RestaurantName]),"Unknown")</f>
        <v>Mexican Fiesta</v>
      </c>
      <c r="K86" s="6" t="str">
        <f>IFERROR(_xlfn.XLOOKUP(Table1[[#This Row],[RestaurantID]],Table2[RestaurantID],Table2[Category]),"Unknown")</f>
        <v>Mexican</v>
      </c>
      <c r="L86" s="1">
        <f>IF(AND(Table1[[#This Row],[Status]]="Delivered",F86&lt;=40),1,0)</f>
        <v>0</v>
      </c>
    </row>
    <row r="87" spans="1:12" x14ac:dyDescent="0.3">
      <c r="A87" s="5" t="s">
        <v>120</v>
      </c>
      <c r="B87" s="6" t="s">
        <v>41</v>
      </c>
      <c r="C87" s="6" t="s">
        <v>39</v>
      </c>
      <c r="D87" s="6" t="s">
        <v>12</v>
      </c>
      <c r="E87" s="7">
        <v>46099</v>
      </c>
      <c r="F87" s="6">
        <v>25</v>
      </c>
      <c r="G87" s="6">
        <v>3.4</v>
      </c>
      <c r="H87" s="6">
        <v>2675</v>
      </c>
      <c r="I87" s="8" t="s">
        <v>17</v>
      </c>
      <c r="J87" s="6" t="str">
        <f>IFERROR(_xlfn.XLOOKUP(Table1[[#This Row],[RestaurantID]],Table2[RestaurantID],Table2[RestaurantName]),"Unknown")</f>
        <v>Taco Town</v>
      </c>
      <c r="K87" s="6" t="str">
        <f>IFERROR(_xlfn.XLOOKUP(Table1[[#This Row],[RestaurantID]],Table2[RestaurantID],Table2[Category]),"Unknown")</f>
        <v>Mexican</v>
      </c>
      <c r="L87" s="1">
        <f>IF(AND(Table1[[#This Row],[Status]]="Delivered",F87&lt;=40),1,0)</f>
        <v>1</v>
      </c>
    </row>
    <row r="88" spans="1:12" x14ac:dyDescent="0.3">
      <c r="A88" s="5" t="s">
        <v>121</v>
      </c>
      <c r="B88" s="6" t="s">
        <v>43</v>
      </c>
      <c r="C88" s="6" t="s">
        <v>39</v>
      </c>
      <c r="D88" s="6" t="s">
        <v>16</v>
      </c>
      <c r="E88" s="7">
        <v>46102</v>
      </c>
      <c r="F88" s="6">
        <v>32</v>
      </c>
      <c r="G88" s="6">
        <v>3.7</v>
      </c>
      <c r="H88" s="6">
        <v>2812</v>
      </c>
      <c r="I88" s="8" t="s">
        <v>17</v>
      </c>
      <c r="J88" s="6" t="str">
        <f>IFERROR(_xlfn.XLOOKUP(Table1[[#This Row],[RestaurantID]],Table2[RestaurantID],Table2[RestaurantName]),"Unknown")</f>
        <v>Casa Mexicana</v>
      </c>
      <c r="K88" s="6" t="str">
        <f>IFERROR(_xlfn.XLOOKUP(Table1[[#This Row],[RestaurantID]],Table2[RestaurantID],Table2[Category]),"Unknown")</f>
        <v>Mexican</v>
      </c>
      <c r="L88" s="1">
        <f>IF(AND(Table1[[#This Row],[Status]]="Delivered",F88&lt;=40),1,0)</f>
        <v>1</v>
      </c>
    </row>
    <row r="89" spans="1:12" x14ac:dyDescent="0.3">
      <c r="A89" s="5" t="s">
        <v>122</v>
      </c>
      <c r="B89" s="6" t="s">
        <v>45</v>
      </c>
      <c r="C89" s="6" t="s">
        <v>11</v>
      </c>
      <c r="D89" s="6" t="s">
        <v>24</v>
      </c>
      <c r="E89" s="7">
        <v>46105</v>
      </c>
      <c r="F89" s="6">
        <v>39</v>
      </c>
      <c r="G89" s="6">
        <v>4</v>
      </c>
      <c r="H89" s="6">
        <v>2949</v>
      </c>
      <c r="I89" s="8" t="s">
        <v>17</v>
      </c>
      <c r="J89" s="6" t="str">
        <f>IFERROR(_xlfn.XLOOKUP(Table1[[#This Row],[RestaurantID]],Table2[RestaurantID],Table2[RestaurantName]),"Unknown")</f>
        <v>Masala House</v>
      </c>
      <c r="K89" s="6" t="str">
        <f>IFERROR(_xlfn.XLOOKUP(Table1[[#This Row],[RestaurantID]],Table2[RestaurantID],Table2[Category]),"Unknown")</f>
        <v>Indian</v>
      </c>
      <c r="L89" s="1">
        <f>IF(AND(Table1[[#This Row],[Status]]="Delivered",F89&lt;=40),1,0)</f>
        <v>1</v>
      </c>
    </row>
    <row r="90" spans="1:12" x14ac:dyDescent="0.3">
      <c r="A90" s="5" t="s">
        <v>123</v>
      </c>
      <c r="B90" s="6" t="s">
        <v>47</v>
      </c>
      <c r="C90" s="6" t="s">
        <v>23</v>
      </c>
      <c r="D90" s="6" t="s">
        <v>20</v>
      </c>
      <c r="E90" s="7">
        <v>46108</v>
      </c>
      <c r="F90" s="6">
        <v>46</v>
      </c>
      <c r="G90" s="6">
        <v>4.3</v>
      </c>
      <c r="H90" s="6">
        <v>3086</v>
      </c>
      <c r="I90" s="8" t="s">
        <v>17</v>
      </c>
      <c r="J90" s="6" t="str">
        <f>IFERROR(_xlfn.XLOOKUP(Table1[[#This Row],[RestaurantID]],Table2[RestaurantID],Table2[RestaurantName]),"Unknown")</f>
        <v>Wok Express</v>
      </c>
      <c r="K90" s="6" t="str">
        <f>IFERROR(_xlfn.XLOOKUP(Table1[[#This Row],[RestaurantID]],Table2[RestaurantID],Table2[Category]),"Unknown")</f>
        <v>Chinese</v>
      </c>
      <c r="L90" s="1">
        <f>IF(AND(Table1[[#This Row],[Status]]="Delivered",F90&lt;=40),1,0)</f>
        <v>0</v>
      </c>
    </row>
    <row r="91" spans="1:12" x14ac:dyDescent="0.3">
      <c r="A91" s="5" t="s">
        <v>124</v>
      </c>
      <c r="B91" s="6" t="s">
        <v>49</v>
      </c>
      <c r="C91" s="6" t="s">
        <v>32</v>
      </c>
      <c r="D91" s="6" t="s">
        <v>27</v>
      </c>
      <c r="E91" s="7">
        <v>46111</v>
      </c>
      <c r="F91" s="6">
        <v>26</v>
      </c>
      <c r="G91" s="6">
        <v>4.5999999999999996</v>
      </c>
      <c r="H91" s="6">
        <v>3223</v>
      </c>
      <c r="I91" s="8" t="s">
        <v>17</v>
      </c>
      <c r="J91" s="6" t="str">
        <f>IFERROR(_xlfn.XLOOKUP(Table1[[#This Row],[RestaurantID]],Table2[RestaurantID],Table2[RestaurantName]),"Unknown")</f>
        <v>Pasta Street</v>
      </c>
      <c r="K91" s="6" t="str">
        <f>IFERROR(_xlfn.XLOOKUP(Table1[[#This Row],[RestaurantID]],Table2[RestaurantID],Table2[Category]),"Unknown")</f>
        <v>Italian</v>
      </c>
      <c r="L91" s="1">
        <f>IF(AND(Table1[[#This Row],[Status]]="Delivered",F91&lt;=40),1,0)</f>
        <v>1</v>
      </c>
    </row>
    <row r="92" spans="1:12" x14ac:dyDescent="0.3">
      <c r="A92" s="5" t="s">
        <v>125</v>
      </c>
      <c r="B92" s="6" t="s">
        <v>10</v>
      </c>
      <c r="C92" s="6" t="s">
        <v>11</v>
      </c>
      <c r="D92" s="6" t="s">
        <v>12</v>
      </c>
      <c r="E92" s="7">
        <v>46024</v>
      </c>
      <c r="F92" s="6">
        <v>33</v>
      </c>
      <c r="G92" s="6">
        <v>4.9000000000000004</v>
      </c>
      <c r="H92" s="6">
        <v>3360</v>
      </c>
      <c r="I92" s="8" t="s">
        <v>17</v>
      </c>
      <c r="J92" s="6" t="str">
        <f>IFERROR(_xlfn.XLOOKUP(Table1[[#This Row],[RestaurantID]],Table2[RestaurantID],Table2[RestaurantName]),"Unknown")</f>
        <v>Spice Villa</v>
      </c>
      <c r="K92" s="6" t="str">
        <f>IFERROR(_xlfn.XLOOKUP(Table1[[#This Row],[RestaurantID]],Table2[RestaurantID],Table2[Category]),"Unknown")</f>
        <v>Indian</v>
      </c>
      <c r="L92" s="1">
        <f>IF(AND(Table1[[#This Row],[Status]]="Delivered",F92&lt;=40),1,0)</f>
        <v>1</v>
      </c>
    </row>
    <row r="93" spans="1:12" x14ac:dyDescent="0.3">
      <c r="A93" s="5" t="s">
        <v>126</v>
      </c>
      <c r="B93" s="6" t="s">
        <v>15</v>
      </c>
      <c r="C93" s="6" t="s">
        <v>11</v>
      </c>
      <c r="D93" s="6" t="s">
        <v>16</v>
      </c>
      <c r="E93" s="7">
        <v>46027</v>
      </c>
      <c r="F93" s="6">
        <v>40</v>
      </c>
      <c r="G93" s="6">
        <v>3.5</v>
      </c>
      <c r="H93" s="6">
        <v>3497</v>
      </c>
      <c r="I93" s="8" t="s">
        <v>17</v>
      </c>
      <c r="J93" s="6" t="str">
        <f>IFERROR(_xlfn.XLOOKUP(Table1[[#This Row],[RestaurantID]],Table2[RestaurantID],Table2[RestaurantName]),"Unknown")</f>
        <v>Tandoori Tales</v>
      </c>
      <c r="K93" s="6" t="str">
        <f>IFERROR(_xlfn.XLOOKUP(Table1[[#This Row],[RestaurantID]],Table2[RestaurantID],Table2[Category]),"Unknown")</f>
        <v>Indian</v>
      </c>
      <c r="L93" s="1">
        <f>IF(AND(Table1[[#This Row],[Status]]="Delivered",F93&lt;=40),1,0)</f>
        <v>1</v>
      </c>
    </row>
    <row r="94" spans="1:12" x14ac:dyDescent="0.3">
      <c r="A94" s="5" t="s">
        <v>127</v>
      </c>
      <c r="B94" s="6" t="s">
        <v>19</v>
      </c>
      <c r="C94" s="6" t="s">
        <v>11</v>
      </c>
      <c r="D94" s="6" t="s">
        <v>20</v>
      </c>
      <c r="E94" s="7">
        <v>46030</v>
      </c>
      <c r="F94" s="6">
        <v>47</v>
      </c>
      <c r="G94" s="6">
        <v>3.8</v>
      </c>
      <c r="H94" s="6">
        <v>504</v>
      </c>
      <c r="I94" s="8" t="s">
        <v>17</v>
      </c>
      <c r="J94" s="6" t="str">
        <f>IFERROR(_xlfn.XLOOKUP(Table1[[#This Row],[RestaurantID]],Table2[RestaurantID],Table2[RestaurantName]),"Unknown")</f>
        <v>Curry Corner</v>
      </c>
      <c r="K94" s="6" t="str">
        <f>IFERROR(_xlfn.XLOOKUP(Table1[[#This Row],[RestaurantID]],Table2[RestaurantID],Table2[Category]),"Unknown")</f>
        <v>Indian</v>
      </c>
      <c r="L94" s="1">
        <f>IF(AND(Table1[[#This Row],[Status]]="Delivered",F94&lt;=40),1,0)</f>
        <v>0</v>
      </c>
    </row>
    <row r="95" spans="1:12" x14ac:dyDescent="0.3">
      <c r="A95" s="5" t="s">
        <v>128</v>
      </c>
      <c r="B95" s="6" t="s">
        <v>22</v>
      </c>
      <c r="C95" s="6" t="s">
        <v>23</v>
      </c>
      <c r="D95" s="6" t="s">
        <v>24</v>
      </c>
      <c r="E95" s="7">
        <v>46033</v>
      </c>
      <c r="F95" s="6">
        <v>27</v>
      </c>
      <c r="G95" s="6">
        <v>4.0999999999999996</v>
      </c>
      <c r="H95" s="6">
        <v>641</v>
      </c>
      <c r="I95" s="8" t="s">
        <v>17</v>
      </c>
      <c r="J95" s="6" t="str">
        <f>IFERROR(_xlfn.XLOOKUP(Table1[[#This Row],[RestaurantID]],Table2[RestaurantID],Table2[RestaurantName]),"Unknown")</f>
        <v>Urban Wok</v>
      </c>
      <c r="K95" s="6" t="str">
        <f>IFERROR(_xlfn.XLOOKUP(Table1[[#This Row],[RestaurantID]],Table2[RestaurantID],Table2[Category]),"Unknown")</f>
        <v>Chinese</v>
      </c>
      <c r="L95" s="1">
        <f>IF(AND(Table1[[#This Row],[Status]]="Delivered",F95&lt;=40),1,0)</f>
        <v>1</v>
      </c>
    </row>
    <row r="96" spans="1:12" x14ac:dyDescent="0.3">
      <c r="A96" s="5" t="s">
        <v>129</v>
      </c>
      <c r="B96" s="6" t="s">
        <v>26</v>
      </c>
      <c r="C96" s="6" t="s">
        <v>23</v>
      </c>
      <c r="D96" s="6" t="s">
        <v>27</v>
      </c>
      <c r="E96" s="7">
        <v>46036</v>
      </c>
      <c r="F96" s="6">
        <v>34</v>
      </c>
      <c r="G96" s="6">
        <v>4.4000000000000004</v>
      </c>
      <c r="H96" s="6">
        <v>778</v>
      </c>
      <c r="I96" s="8" t="s">
        <v>17</v>
      </c>
      <c r="J96" s="6" t="str">
        <f>IFERROR(_xlfn.XLOOKUP(Table1[[#This Row],[RestaurantID]],Table2[RestaurantID],Table2[RestaurantName]),"Unknown")</f>
        <v>Dragon Bowl</v>
      </c>
      <c r="K96" s="6" t="str">
        <f>IFERROR(_xlfn.XLOOKUP(Table1[[#This Row],[RestaurantID]],Table2[RestaurantID],Table2[Category]),"Unknown")</f>
        <v>Chinese</v>
      </c>
      <c r="L96" s="1">
        <f>IF(AND(Table1[[#This Row],[Status]]="Delivered",F96&lt;=40),1,0)</f>
        <v>1</v>
      </c>
    </row>
    <row r="97" spans="1:12" x14ac:dyDescent="0.3">
      <c r="A97" s="5" t="s">
        <v>130</v>
      </c>
      <c r="B97" s="6" t="s">
        <v>29</v>
      </c>
      <c r="C97" s="6" t="s">
        <v>23</v>
      </c>
      <c r="D97" s="6" t="s">
        <v>12</v>
      </c>
      <c r="E97" s="7">
        <v>46039</v>
      </c>
      <c r="F97" s="6">
        <v>41</v>
      </c>
      <c r="G97" s="6">
        <v>4.7</v>
      </c>
      <c r="H97" s="6">
        <v>915</v>
      </c>
      <c r="I97" s="8" t="s">
        <v>17</v>
      </c>
      <c r="J97" s="6" t="str">
        <f>IFERROR(_xlfn.XLOOKUP(Table1[[#This Row],[RestaurantID]],Table2[RestaurantID],Table2[RestaurantName]),"Unknown")</f>
        <v>Golden Wok</v>
      </c>
      <c r="K97" s="6" t="str">
        <f>IFERROR(_xlfn.XLOOKUP(Table1[[#This Row],[RestaurantID]],Table2[RestaurantID],Table2[Category]),"Unknown")</f>
        <v>Chinese</v>
      </c>
      <c r="L97" s="1">
        <f>IF(AND(Table1[[#This Row],[Status]]="Delivered",F97&lt;=40),1,0)</f>
        <v>0</v>
      </c>
    </row>
    <row r="98" spans="1:12" x14ac:dyDescent="0.3">
      <c r="A98" s="5" t="s">
        <v>131</v>
      </c>
      <c r="B98" s="6" t="s">
        <v>31</v>
      </c>
      <c r="C98" s="6" t="s">
        <v>32</v>
      </c>
      <c r="D98" s="6" t="s">
        <v>16</v>
      </c>
      <c r="E98" s="7">
        <v>46042</v>
      </c>
      <c r="F98" s="6">
        <v>48</v>
      </c>
      <c r="G98" s="6">
        <v>3.3</v>
      </c>
      <c r="H98" s="6">
        <v>1052</v>
      </c>
      <c r="I98" s="8" t="s">
        <v>17</v>
      </c>
      <c r="J98" s="6" t="str">
        <f>IFERROR(_xlfn.XLOOKUP(Table1[[#This Row],[RestaurantID]],Table2[RestaurantID],Table2[RestaurantName]),"Unknown")</f>
        <v>Pasta Palace</v>
      </c>
      <c r="K98" s="6" t="str">
        <f>IFERROR(_xlfn.XLOOKUP(Table1[[#This Row],[RestaurantID]],Table2[RestaurantID],Table2[Category]),"Unknown")</f>
        <v>Italian</v>
      </c>
      <c r="L98" s="1">
        <f>IF(AND(Table1[[#This Row],[Status]]="Delivered",F98&lt;=40),1,0)</f>
        <v>0</v>
      </c>
    </row>
    <row r="99" spans="1:12" x14ac:dyDescent="0.3">
      <c r="A99" s="5" t="s">
        <v>132</v>
      </c>
      <c r="B99" s="6" t="s">
        <v>34</v>
      </c>
      <c r="C99" s="6" t="s">
        <v>32</v>
      </c>
      <c r="D99" s="6" t="s">
        <v>20</v>
      </c>
      <c r="E99" s="7">
        <v>46045</v>
      </c>
      <c r="F99" s="6">
        <v>28</v>
      </c>
      <c r="G99" s="6">
        <v>3.6</v>
      </c>
      <c r="H99" s="6">
        <v>1189</v>
      </c>
      <c r="I99" s="8" t="s">
        <v>17</v>
      </c>
      <c r="J99" s="6" t="str">
        <f>IFERROR(_xlfn.XLOOKUP(Table1[[#This Row],[RestaurantID]],Table2[RestaurantID],Table2[RestaurantName]),"Unknown")</f>
        <v>Roma Kitchen</v>
      </c>
      <c r="K99" s="6" t="str">
        <f>IFERROR(_xlfn.XLOOKUP(Table1[[#This Row],[RestaurantID]],Table2[RestaurantID],Table2[Category]),"Unknown")</f>
        <v>Italian</v>
      </c>
      <c r="L99" s="1">
        <f>IF(AND(Table1[[#This Row],[Status]]="Delivered",F99&lt;=40),1,0)</f>
        <v>1</v>
      </c>
    </row>
    <row r="100" spans="1:12" x14ac:dyDescent="0.3">
      <c r="A100" s="5" t="s">
        <v>133</v>
      </c>
      <c r="B100" s="6" t="s">
        <v>36</v>
      </c>
      <c r="C100" s="6" t="s">
        <v>32</v>
      </c>
      <c r="D100" s="6" t="s">
        <v>24</v>
      </c>
      <c r="E100" s="7">
        <v>46048</v>
      </c>
      <c r="F100" s="6">
        <v>35</v>
      </c>
      <c r="G100" s="6">
        <v>3.9</v>
      </c>
      <c r="H100" s="6">
        <v>1326</v>
      </c>
      <c r="I100" s="8" t="s">
        <v>17</v>
      </c>
      <c r="J100" s="6" t="str">
        <f>IFERROR(_xlfn.XLOOKUP(Table1[[#This Row],[RestaurantID]],Table2[RestaurantID],Table2[RestaurantName]),"Unknown")</f>
        <v>Bella Italia</v>
      </c>
      <c r="K100" s="6" t="str">
        <f>IFERROR(_xlfn.XLOOKUP(Table1[[#This Row],[RestaurantID]],Table2[RestaurantID],Table2[Category]),"Unknown")</f>
        <v>Italian</v>
      </c>
      <c r="L100" s="1">
        <f>IF(AND(Table1[[#This Row],[Status]]="Delivered",F100&lt;=40),1,0)</f>
        <v>1</v>
      </c>
    </row>
    <row r="101" spans="1:12" x14ac:dyDescent="0.3">
      <c r="A101" s="9" t="s">
        <v>134</v>
      </c>
      <c r="B101" s="10" t="s">
        <v>38</v>
      </c>
      <c r="C101" s="10" t="s">
        <v>39</v>
      </c>
      <c r="D101" s="10" t="s">
        <v>27</v>
      </c>
      <c r="E101" s="11">
        <v>46051</v>
      </c>
      <c r="F101" s="10">
        <v>42</v>
      </c>
      <c r="G101" s="10">
        <v>4.2</v>
      </c>
      <c r="H101" s="10">
        <v>1463</v>
      </c>
      <c r="I101" s="12" t="s">
        <v>17</v>
      </c>
      <c r="J101" s="10" t="str">
        <f>IFERROR(_xlfn.XLOOKUP(Table1[[#This Row],[RestaurantID]],Table2[RestaurantID],Table2[RestaurantName]),"Unknown")</f>
        <v>Mexican Fiesta</v>
      </c>
      <c r="K101" s="10" t="str">
        <f>IFERROR(_xlfn.XLOOKUP(Table1[[#This Row],[RestaurantID]],Table2[RestaurantID],Table2[Category]),"Unknown")</f>
        <v>Mexican</v>
      </c>
      <c r="L101" s="1">
        <f>IF(AND(Table1[[#This Row],[Status]]="Delivered",F101&lt;=40),1,0)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917E6-D607-4552-989F-5C4BBF3294E6}">
  <dimension ref="A1:D16"/>
  <sheetViews>
    <sheetView workbookViewId="0">
      <selection activeCell="B3" sqref="B3"/>
    </sheetView>
  </sheetViews>
  <sheetFormatPr defaultRowHeight="14.4" x14ac:dyDescent="0.3"/>
  <cols>
    <col min="1" max="1" width="16.33203125" bestFit="1" customWidth="1"/>
    <col min="2" max="2" width="19.6640625" bestFit="1" customWidth="1"/>
    <col min="3" max="3" width="13" bestFit="1" customWidth="1"/>
    <col min="4" max="4" width="9.6640625" bestFit="1" customWidth="1"/>
  </cols>
  <sheetData>
    <row r="1" spans="1:4" x14ac:dyDescent="0.3">
      <c r="A1" s="2" t="s">
        <v>1</v>
      </c>
      <c r="B1" s="3" t="s">
        <v>135</v>
      </c>
      <c r="C1" s="3" t="s">
        <v>136</v>
      </c>
      <c r="D1" s="4" t="s">
        <v>3</v>
      </c>
    </row>
    <row r="2" spans="1:4" x14ac:dyDescent="0.3">
      <c r="A2" s="5" t="s">
        <v>10</v>
      </c>
      <c r="B2" s="6" t="s">
        <v>137</v>
      </c>
      <c r="C2" s="6" t="s">
        <v>11</v>
      </c>
      <c r="D2" s="8" t="s">
        <v>12</v>
      </c>
    </row>
    <row r="3" spans="1:4" x14ac:dyDescent="0.3">
      <c r="A3" s="5" t="s">
        <v>15</v>
      </c>
      <c r="B3" s="6" t="s">
        <v>138</v>
      </c>
      <c r="C3" s="6" t="s">
        <v>11</v>
      </c>
      <c r="D3" s="8" t="s">
        <v>16</v>
      </c>
    </row>
    <row r="4" spans="1:4" x14ac:dyDescent="0.3">
      <c r="A4" s="5" t="s">
        <v>19</v>
      </c>
      <c r="B4" s="6" t="s">
        <v>139</v>
      </c>
      <c r="C4" s="6" t="s">
        <v>11</v>
      </c>
      <c r="D4" s="8" t="s">
        <v>20</v>
      </c>
    </row>
    <row r="5" spans="1:4" x14ac:dyDescent="0.3">
      <c r="A5" s="5" t="s">
        <v>22</v>
      </c>
      <c r="B5" s="6" t="s">
        <v>140</v>
      </c>
      <c r="C5" s="6" t="s">
        <v>23</v>
      </c>
      <c r="D5" s="8" t="s">
        <v>24</v>
      </c>
    </row>
    <row r="6" spans="1:4" x14ac:dyDescent="0.3">
      <c r="A6" s="5" t="s">
        <v>26</v>
      </c>
      <c r="B6" s="6" t="s">
        <v>141</v>
      </c>
      <c r="C6" s="6" t="s">
        <v>23</v>
      </c>
      <c r="D6" s="8" t="s">
        <v>27</v>
      </c>
    </row>
    <row r="7" spans="1:4" x14ac:dyDescent="0.3">
      <c r="A7" s="5" t="s">
        <v>29</v>
      </c>
      <c r="B7" s="6" t="s">
        <v>142</v>
      </c>
      <c r="C7" s="6" t="s">
        <v>23</v>
      </c>
      <c r="D7" s="8" t="s">
        <v>12</v>
      </c>
    </row>
    <row r="8" spans="1:4" x14ac:dyDescent="0.3">
      <c r="A8" s="5" t="s">
        <v>31</v>
      </c>
      <c r="B8" s="6" t="s">
        <v>143</v>
      </c>
      <c r="C8" s="6" t="s">
        <v>32</v>
      </c>
      <c r="D8" s="8" t="s">
        <v>16</v>
      </c>
    </row>
    <row r="9" spans="1:4" x14ac:dyDescent="0.3">
      <c r="A9" s="5" t="s">
        <v>34</v>
      </c>
      <c r="B9" s="6" t="s">
        <v>144</v>
      </c>
      <c r="C9" s="6" t="s">
        <v>32</v>
      </c>
      <c r="D9" s="8" t="s">
        <v>20</v>
      </c>
    </row>
    <row r="10" spans="1:4" x14ac:dyDescent="0.3">
      <c r="A10" s="5" t="s">
        <v>36</v>
      </c>
      <c r="B10" s="6" t="s">
        <v>145</v>
      </c>
      <c r="C10" s="6" t="s">
        <v>32</v>
      </c>
      <c r="D10" s="8" t="s">
        <v>24</v>
      </c>
    </row>
    <row r="11" spans="1:4" x14ac:dyDescent="0.3">
      <c r="A11" s="5" t="s">
        <v>38</v>
      </c>
      <c r="B11" s="6" t="s">
        <v>146</v>
      </c>
      <c r="C11" s="6" t="s">
        <v>39</v>
      </c>
      <c r="D11" s="8" t="s">
        <v>27</v>
      </c>
    </row>
    <row r="12" spans="1:4" x14ac:dyDescent="0.3">
      <c r="A12" s="5" t="s">
        <v>41</v>
      </c>
      <c r="B12" s="6" t="s">
        <v>147</v>
      </c>
      <c r="C12" s="6" t="s">
        <v>39</v>
      </c>
      <c r="D12" s="8" t="s">
        <v>12</v>
      </c>
    </row>
    <row r="13" spans="1:4" x14ac:dyDescent="0.3">
      <c r="A13" s="5" t="s">
        <v>43</v>
      </c>
      <c r="B13" s="6" t="s">
        <v>148</v>
      </c>
      <c r="C13" s="6" t="s">
        <v>39</v>
      </c>
      <c r="D13" s="8" t="s">
        <v>16</v>
      </c>
    </row>
    <row r="14" spans="1:4" x14ac:dyDescent="0.3">
      <c r="A14" s="5" t="s">
        <v>45</v>
      </c>
      <c r="B14" s="6" t="s">
        <v>149</v>
      </c>
      <c r="C14" s="6" t="s">
        <v>11</v>
      </c>
      <c r="D14" s="8" t="s">
        <v>24</v>
      </c>
    </row>
    <row r="15" spans="1:4" x14ac:dyDescent="0.3">
      <c r="A15" s="5" t="s">
        <v>47</v>
      </c>
      <c r="B15" s="6" t="s">
        <v>150</v>
      </c>
      <c r="C15" s="6" t="s">
        <v>23</v>
      </c>
      <c r="D15" s="8" t="s">
        <v>20</v>
      </c>
    </row>
    <row r="16" spans="1:4" x14ac:dyDescent="0.3">
      <c r="A16" s="9" t="s">
        <v>49</v>
      </c>
      <c r="B16" s="10" t="s">
        <v>151</v>
      </c>
      <c r="C16" s="10" t="s">
        <v>32</v>
      </c>
      <c r="D16" s="12" t="s">
        <v>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48B0B-A968-4E11-8C9C-546521B1154B}">
  <dimension ref="A1:H6"/>
  <sheetViews>
    <sheetView workbookViewId="0">
      <selection activeCell="F8" sqref="F8"/>
    </sheetView>
  </sheetViews>
  <sheetFormatPr defaultRowHeight="14.4" x14ac:dyDescent="0.3"/>
  <cols>
    <col min="1" max="1" width="9.6640625" bestFit="1" customWidth="1"/>
    <col min="2" max="2" width="21.88671875" bestFit="1" customWidth="1"/>
    <col min="3" max="4" width="23.44140625" bestFit="1" customWidth="1"/>
    <col min="5" max="5" width="18.21875" bestFit="1" customWidth="1"/>
    <col min="6" max="7" width="19.77734375" bestFit="1" customWidth="1"/>
    <col min="8" max="8" width="19.109375" bestFit="1" customWidth="1"/>
  </cols>
  <sheetData>
    <row r="1" spans="1:8" x14ac:dyDescent="0.3">
      <c r="A1" s="2" t="s">
        <v>3</v>
      </c>
      <c r="B1" s="3" t="s">
        <v>152</v>
      </c>
      <c r="C1" s="3" t="s">
        <v>153</v>
      </c>
      <c r="D1" s="3" t="s">
        <v>154</v>
      </c>
      <c r="E1" s="3" t="s">
        <v>155</v>
      </c>
      <c r="F1" s="3" t="s">
        <v>156</v>
      </c>
      <c r="G1" s="3" t="s">
        <v>157</v>
      </c>
      <c r="H1" s="4" t="s">
        <v>158</v>
      </c>
    </row>
    <row r="2" spans="1:8" x14ac:dyDescent="0.3">
      <c r="A2" s="5" t="s">
        <v>12</v>
      </c>
      <c r="B2" s="6">
        <f>AVERAGEIF(Table1[Zone],Table3[[#This Row],[Zone]],Table1[DeliveryTime])</f>
        <v>35.200000000000003</v>
      </c>
      <c r="C2" s="6" cm="1">
        <f t="array" ref="C2">MEDIAN(_xlfn._xlws.FILTER(Table1[DeliveryTime],Table1[Zone]=Table3[[#This Row],[Zone]]))</f>
        <v>35</v>
      </c>
      <c r="D2" s="6" cm="1">
        <f t="array" ref="D2">_xlfn.STDEV.S(_xlfn._xlws.FILTER(Table1[DeliveryTime],Table1[Zone]=Table3[[#This Row],[Zone]]))</f>
        <v>7.8980343990401236</v>
      </c>
      <c r="E2" s="6">
        <f>AVERAGEIF(Table1[Zone],Table3[[#This Row],[Zone]],'Orders Sheet'!H:H)</f>
        <v>1875.1052631578948</v>
      </c>
      <c r="F2" s="6" cm="1">
        <f t="array" ref="F2">MEDIAN(_xlfn._xlws.FILTER(Table1[Revenue],Table1[Zone]=Table3[[#This Row],[Zone]]))</f>
        <v>1905</v>
      </c>
      <c r="G2" s="6" cm="1">
        <f t="array" ref="G2">_xlfn.STDEV.S(_xlfn._xlws.FILTER(Table1[Revenue],Table1[Zone]=Table3[[#This Row],[Zone]]))</f>
        <v>966.26328546732293</v>
      </c>
      <c r="H2" s="8" t="str">
        <f>IF(Table3[[#This Row],[Mean DeliveryTime]]&gt;MEDIAN(Table1[DeliveryTime]),"Above Overall Median","Within/Below Median")</f>
        <v>Within/Below Median</v>
      </c>
    </row>
    <row r="3" spans="1:8" x14ac:dyDescent="0.3">
      <c r="A3" s="5" t="s">
        <v>16</v>
      </c>
      <c r="B3" s="6">
        <f>AVERAGEIF(Table1[Zone],Table3[[#This Row],[Zone]],Table1[DeliveryTime])</f>
        <v>36.799999999999997</v>
      </c>
      <c r="C3" s="6" cm="1">
        <f t="array" ref="C3">MEDIAN(_xlfn._xlws.FILTER(Table1[DeliveryTime],Table1[Zone]=Table3[[#This Row],[Zone]]))</f>
        <v>37</v>
      </c>
      <c r="D3" s="6" cm="1">
        <f t="array" ref="D3">_xlfn.STDEV.S(_xlfn._xlws.FILTER(Table1[DeliveryTime],Table1[Zone]=Table3[[#This Row],[Zone]]))</f>
        <v>7.8980343990401236</v>
      </c>
      <c r="E3" s="6">
        <f>AVERAGEIF(Table1[Zone],Table3[[#This Row],[Zone]],'Orders Sheet'!H:H)</f>
        <v>1934</v>
      </c>
      <c r="F3" s="6" cm="1">
        <f t="array" ref="F3">MEDIAN(_xlfn._xlws.FILTER(Table1[Revenue],Table1[Zone]=Table3[[#This Row],[Zone]]))</f>
        <v>1899.5</v>
      </c>
      <c r="G3" s="6" cm="1">
        <f t="array" ref="G3">_xlfn.STDEV.S(_xlfn._xlws.FILTER(Table1[Revenue],Table1[Zone]=Table3[[#This Row],[Zone]]))</f>
        <v>957.75972154320959</v>
      </c>
      <c r="H3" s="8" t="str">
        <f>IF(Table3[[#This Row],[Mean DeliveryTime]]&gt;MEDIAN(Table1[DeliveryTime]),"Above Overall Median","Within/Below Median")</f>
        <v>Above Overall Median</v>
      </c>
    </row>
    <row r="4" spans="1:8" x14ac:dyDescent="0.3">
      <c r="A4" s="5" t="s">
        <v>20</v>
      </c>
      <c r="B4" s="6">
        <f>AVERAGEIF(Table1[Zone],Table3[[#This Row],[Zone]],Table1[DeliveryTime])</f>
        <v>35.1</v>
      </c>
      <c r="C4" s="6" cm="1">
        <f t="array" ref="C4">MEDIAN(_xlfn._xlws.FILTER(Table1[DeliveryTime],Table1[Zone]=Table3[[#This Row],[Zone]]))</f>
        <v>34</v>
      </c>
      <c r="D4" s="6" cm="1">
        <f t="array" ref="D4">_xlfn.STDEV.S(_xlfn._xlws.FILTER(Table1[DeliveryTime],Table1[Zone]=Table3[[#This Row],[Zone]]))</f>
        <v>7.900033311055684</v>
      </c>
      <c r="E4" s="6">
        <f>AVERAGEIF(Table1[Zone],Table3[[#This Row],[Zone]],'Orders Sheet'!H:H)</f>
        <v>1955.1</v>
      </c>
      <c r="F4" s="6" cm="1">
        <f t="array" ref="F4">MEDIAN(_xlfn._xlws.FILTER(Table1[Revenue],Table1[Zone]=Table3[[#This Row],[Zone]]))</f>
        <v>1905</v>
      </c>
      <c r="G4" s="6" cm="1">
        <f t="array" ref="G4">_xlfn.STDEV.S(_xlfn._xlws.FILTER(Table1[Revenue],Table1[Zone]=Table3[[#This Row],[Zone]]))</f>
        <v>948.00351986910391</v>
      </c>
      <c r="H4" s="8" t="str">
        <f>IF(Table3[[#This Row],[Mean DeliveryTime]]&gt;MEDIAN(Table1[DeliveryTime]),"Above Overall Median","Within/Below Median")</f>
        <v>Within/Below Median</v>
      </c>
    </row>
    <row r="5" spans="1:8" x14ac:dyDescent="0.3">
      <c r="A5" s="5" t="s">
        <v>24</v>
      </c>
      <c r="B5" s="6">
        <f>AVERAGEIF(Table1[Zone],Table3[[#This Row],[Zone]],Table1[DeliveryTime])</f>
        <v>36.549999999999997</v>
      </c>
      <c r="C5" s="6" cm="1">
        <f t="array" ref="C5">MEDIAN(_xlfn._xlws.FILTER(Table1[DeliveryTime],Table1[Zone]=Table3[[#This Row],[Zone]]))</f>
        <v>38.5</v>
      </c>
      <c r="D5" s="6" cm="1">
        <f t="array" ref="D5">_xlfn.STDEV.S(_xlfn._xlws.FILTER(Table1[DeliveryTime],Table1[Zone]=Table3[[#This Row],[Zone]]))</f>
        <v>8.0293868154161672</v>
      </c>
      <c r="E5" s="6">
        <f>AVERAGEIF(Table1[Zone],Table3[[#This Row],[Zone]],'Orders Sheet'!H:H)</f>
        <v>1853.4</v>
      </c>
      <c r="F5" s="6" cm="1">
        <f t="array" ref="F5">MEDIAN(_xlfn._xlws.FILTER(Table1[Revenue],Table1[Zone]=Table3[[#This Row],[Zone]]))</f>
        <v>1773.5</v>
      </c>
      <c r="G5" s="6" cm="1">
        <f t="array" ref="G5">_xlfn.STDEV.S(_xlfn._xlws.FILTER(Table1[Revenue],Table1[Zone]=Table3[[#This Row],[Zone]]))</f>
        <v>917.2814181046075</v>
      </c>
      <c r="H5" s="8" t="str">
        <f>IF(Table3[[#This Row],[Mean DeliveryTime]]&gt;MEDIAN(Table1[DeliveryTime]),"Above Overall Median","Within/Below Median")</f>
        <v>Above Overall Median</v>
      </c>
    </row>
    <row r="6" spans="1:8" x14ac:dyDescent="0.3">
      <c r="A6" s="9" t="s">
        <v>27</v>
      </c>
      <c r="B6" s="10">
        <f>AVERAGEIF(Table1[Zone],Table3[[#This Row],[Zone]],Table1[DeliveryTime])</f>
        <v>36.200000000000003</v>
      </c>
      <c r="C6" s="10" cm="1">
        <f t="array" ref="C6">MEDIAN(_xlfn._xlws.FILTER(Table1[DeliveryTime],Table1[Zone]=Table3[[#This Row],[Zone]]))</f>
        <v>36</v>
      </c>
      <c r="D6" s="10" cm="1">
        <f t="array" ref="D6">_xlfn.STDEV.S(_xlfn._xlws.FILTER(Table1[DeliveryTime],Table1[Zone]=Table3[[#This Row],[Zone]]))</f>
        <v>7.8980343990401236</v>
      </c>
      <c r="E6" s="10">
        <f>AVERAGEIF(Table1[Zone],Table3[[#This Row],[Zone]],'Orders Sheet'!H:H)</f>
        <v>1874.5</v>
      </c>
      <c r="F6" s="10" cm="1">
        <f t="array" ref="F6">MEDIAN(_xlfn._xlws.FILTER(Table1[Revenue],Table1[Zone]=Table3[[#This Row],[Zone]]))</f>
        <v>1768</v>
      </c>
      <c r="G6" s="10" cm="1">
        <f t="array" ref="G6">_xlfn.STDEV.S(_xlfn._xlws.FILTER(Table1[Revenue],Table1[Zone]=Table3[[#This Row],[Zone]]))</f>
        <v>905.62002604787153</v>
      </c>
      <c r="H6" s="12" t="str">
        <f>IF(Table3[[#This Row],[Mean DeliveryTime]]&gt;MEDIAN(Table1[DeliveryTime]),"Above Overall Median","Within/Below Median")</f>
        <v>Above Overall Median</v>
      </c>
    </row>
  </sheetData>
  <conditionalFormatting sqref="H2:H6">
    <cfRule type="cellIs" dxfId="84" priority="1" operator="equal">
      <formula>"Above Overall Median"</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4CE2-91C8-4FB4-B76E-8301C2FE2CA3}">
  <dimension ref="A3:O9"/>
  <sheetViews>
    <sheetView topLeftCell="B1" workbookViewId="0">
      <selection activeCell="L3" sqref="L3"/>
    </sheetView>
  </sheetViews>
  <sheetFormatPr defaultRowHeight="14.4" x14ac:dyDescent="0.3"/>
  <cols>
    <col min="1" max="1" width="14.88671875" bestFit="1" customWidth="1"/>
    <col min="2" max="2" width="15.5546875" bestFit="1" customWidth="1"/>
    <col min="3" max="6" width="6" bestFit="1" customWidth="1"/>
    <col min="7" max="7" width="10.77734375" bestFit="1" customWidth="1"/>
    <col min="9" max="9" width="16" bestFit="1" customWidth="1"/>
    <col min="10" max="10" width="15.5546875" bestFit="1" customWidth="1"/>
    <col min="11" max="15" width="12" bestFit="1" customWidth="1"/>
  </cols>
  <sheetData>
    <row r="3" spans="1:15" x14ac:dyDescent="0.3">
      <c r="A3" s="19" t="s">
        <v>163</v>
      </c>
      <c r="B3" s="19" t="s">
        <v>162</v>
      </c>
      <c r="I3" s="19" t="s">
        <v>169</v>
      </c>
      <c r="J3" s="19" t="s">
        <v>162</v>
      </c>
    </row>
    <row r="4" spans="1:15" x14ac:dyDescent="0.3">
      <c r="A4" s="19" t="s">
        <v>160</v>
      </c>
      <c r="B4" t="s">
        <v>16</v>
      </c>
      <c r="C4" t="s">
        <v>24</v>
      </c>
      <c r="D4" t="s">
        <v>20</v>
      </c>
      <c r="E4" t="s">
        <v>27</v>
      </c>
      <c r="F4" t="s">
        <v>12</v>
      </c>
      <c r="G4" t="s">
        <v>161</v>
      </c>
      <c r="I4" s="19" t="s">
        <v>160</v>
      </c>
      <c r="J4" t="s">
        <v>16</v>
      </c>
      <c r="K4" t="s">
        <v>24</v>
      </c>
      <c r="L4" t="s">
        <v>20</v>
      </c>
      <c r="M4" t="s">
        <v>27</v>
      </c>
      <c r="N4" t="s">
        <v>12</v>
      </c>
      <c r="O4" t="s">
        <v>161</v>
      </c>
    </row>
    <row r="5" spans="1:15" x14ac:dyDescent="0.3">
      <c r="A5" s="20" t="s">
        <v>23</v>
      </c>
      <c r="B5" s="21"/>
      <c r="C5" s="21">
        <v>11512</v>
      </c>
      <c r="D5" s="21">
        <v>12811</v>
      </c>
      <c r="E5" s="21">
        <v>12471</v>
      </c>
      <c r="F5" s="21">
        <v>13430</v>
      </c>
      <c r="G5" s="21">
        <v>50224</v>
      </c>
      <c r="I5" s="20" t="s">
        <v>23</v>
      </c>
      <c r="J5" s="21"/>
      <c r="K5" s="21">
        <v>4.2</v>
      </c>
      <c r="L5" s="21">
        <v>4.0999999999999996</v>
      </c>
      <c r="M5" s="21">
        <v>4.0142857142857142</v>
      </c>
      <c r="N5" s="21">
        <v>4.3142857142857141</v>
      </c>
      <c r="O5" s="21">
        <v>4.159259259259259</v>
      </c>
    </row>
    <row r="6" spans="1:15" x14ac:dyDescent="0.3">
      <c r="A6" s="20" t="s">
        <v>11</v>
      </c>
      <c r="B6" s="21">
        <v>12724</v>
      </c>
      <c r="C6" s="21">
        <v>11989</v>
      </c>
      <c r="D6" s="21">
        <v>10553</v>
      </c>
      <c r="E6" s="21"/>
      <c r="F6" s="21">
        <v>14905</v>
      </c>
      <c r="G6" s="21">
        <v>50171</v>
      </c>
      <c r="I6" s="20" t="s">
        <v>11</v>
      </c>
      <c r="J6" s="21">
        <v>4.0857142857142863</v>
      </c>
      <c r="K6" s="21">
        <v>4.083333333333333</v>
      </c>
      <c r="L6" s="21">
        <v>3.9</v>
      </c>
      <c r="M6" s="21"/>
      <c r="N6" s="21">
        <v>4.0285714285714294</v>
      </c>
      <c r="O6" s="21">
        <v>4.022222222222223</v>
      </c>
    </row>
    <row r="7" spans="1:15" x14ac:dyDescent="0.3">
      <c r="A7" s="20" t="s">
        <v>32</v>
      </c>
      <c r="B7" s="21">
        <v>14389</v>
      </c>
      <c r="C7" s="21">
        <v>13167</v>
      </c>
      <c r="D7" s="21">
        <v>15348</v>
      </c>
      <c r="E7" s="21">
        <v>13633</v>
      </c>
      <c r="F7" s="21"/>
      <c r="G7" s="21">
        <v>56537</v>
      </c>
      <c r="I7" s="20" t="s">
        <v>32</v>
      </c>
      <c r="J7" s="21">
        <v>3.8857142857142857</v>
      </c>
      <c r="K7" s="21">
        <v>3.9999999999999996</v>
      </c>
      <c r="L7" s="21">
        <v>4.1857142857142859</v>
      </c>
      <c r="M7" s="21">
        <v>4.1166666666666671</v>
      </c>
      <c r="N7" s="21"/>
      <c r="O7" s="21">
        <v>4.0444444444444434</v>
      </c>
    </row>
    <row r="8" spans="1:15" x14ac:dyDescent="0.3">
      <c r="A8" s="20" t="s">
        <v>39</v>
      </c>
      <c r="B8" s="21">
        <v>11167</v>
      </c>
      <c r="C8" s="21"/>
      <c r="D8" s="21"/>
      <c r="E8" s="21">
        <v>10986</v>
      </c>
      <c r="F8" s="21">
        <v>10345</v>
      </c>
      <c r="G8" s="21">
        <v>32498</v>
      </c>
      <c r="I8" s="20" t="s">
        <v>39</v>
      </c>
      <c r="J8" s="21">
        <v>4.0666666666666664</v>
      </c>
      <c r="K8" s="21"/>
      <c r="L8" s="21"/>
      <c r="M8" s="21">
        <v>4.3</v>
      </c>
      <c r="N8" s="21">
        <v>4.05</v>
      </c>
      <c r="O8" s="21">
        <v>4.1473684210526311</v>
      </c>
    </row>
    <row r="9" spans="1:15" x14ac:dyDescent="0.3">
      <c r="A9" s="20" t="s">
        <v>161</v>
      </c>
      <c r="B9" s="21">
        <v>38280</v>
      </c>
      <c r="C9" s="21">
        <v>36668</v>
      </c>
      <c r="D9" s="21">
        <v>38712</v>
      </c>
      <c r="E9" s="21">
        <v>37090</v>
      </c>
      <c r="F9" s="21">
        <v>38680</v>
      </c>
      <c r="G9" s="21">
        <v>189430</v>
      </c>
      <c r="I9" s="20" t="s">
        <v>161</v>
      </c>
      <c r="J9" s="21">
        <v>4.01</v>
      </c>
      <c r="K9" s="21">
        <v>4.0950000000000006</v>
      </c>
      <c r="L9" s="21">
        <v>4.0599999999999996</v>
      </c>
      <c r="M9" s="21">
        <v>4.1450000000000005</v>
      </c>
      <c r="N9" s="21">
        <v>4.1349999999999998</v>
      </c>
      <c r="O9" s="23">
        <v>4.0890000000000004</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24ECF-ED4B-420A-AC61-05B5B1DF320C}">
  <dimension ref="A1:L6"/>
  <sheetViews>
    <sheetView workbookViewId="0">
      <selection activeCell="K1" sqref="K1:L2"/>
    </sheetView>
  </sheetViews>
  <sheetFormatPr defaultRowHeight="14.4" x14ac:dyDescent="0.3"/>
  <cols>
    <col min="1" max="1" width="12.5546875" bestFit="1" customWidth="1"/>
    <col min="2" max="2" width="15.44140625" bestFit="1" customWidth="1"/>
    <col min="11" max="11" width="18.21875" bestFit="1" customWidth="1"/>
    <col min="12" max="12" width="15.44140625" bestFit="1" customWidth="1"/>
  </cols>
  <sheetData>
    <row r="1" spans="1:12" x14ac:dyDescent="0.3">
      <c r="A1" s="19" t="s">
        <v>160</v>
      </c>
      <c r="B1" t="s">
        <v>167</v>
      </c>
      <c r="K1" s="1" t="s">
        <v>171</v>
      </c>
      <c r="L1" s="1" t="s">
        <v>167</v>
      </c>
    </row>
    <row r="2" spans="1:12" x14ac:dyDescent="0.3">
      <c r="A2" s="20" t="s">
        <v>168</v>
      </c>
      <c r="B2" s="21">
        <v>100</v>
      </c>
      <c r="K2" s="24">
        <v>66</v>
      </c>
      <c r="L2" s="24">
        <v>100</v>
      </c>
    </row>
    <row r="3" spans="1:12" x14ac:dyDescent="0.3">
      <c r="A3" s="22" t="s">
        <v>164</v>
      </c>
      <c r="B3" s="21">
        <v>40</v>
      </c>
    </row>
    <row r="4" spans="1:12" x14ac:dyDescent="0.3">
      <c r="A4" s="22" t="s">
        <v>165</v>
      </c>
      <c r="B4" s="21">
        <v>30</v>
      </c>
    </row>
    <row r="5" spans="1:12" x14ac:dyDescent="0.3">
      <c r="A5" s="22" t="s">
        <v>166</v>
      </c>
      <c r="B5" s="21">
        <v>30</v>
      </c>
    </row>
    <row r="6" spans="1:12" x14ac:dyDescent="0.3">
      <c r="A6" s="20" t="s">
        <v>161</v>
      </c>
      <c r="B6" s="21">
        <v>100</v>
      </c>
    </row>
  </sheetData>
  <pageMargins left="0.7" right="0.7" top="0.75" bottom="0.75" header="0.3" footer="0.3"/>
  <pageSetup orientation="portrait" r:id="rId3"/>
  <drawing r:id="rId4"/>
  <extLs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7D605-8280-44AD-86B5-196916AFBE77}">
  <dimension ref="A1:N7"/>
  <sheetViews>
    <sheetView tabSelected="1" workbookViewId="0">
      <selection activeCell="P7" sqref="P7"/>
    </sheetView>
  </sheetViews>
  <sheetFormatPr defaultRowHeight="14.4" x14ac:dyDescent="0.3"/>
  <sheetData>
    <row r="1" spans="1:14" ht="14.4" customHeight="1" x14ac:dyDescent="0.3">
      <c r="A1" s="14" t="s">
        <v>159</v>
      </c>
      <c r="B1" s="14"/>
      <c r="C1" s="14"/>
      <c r="D1" s="14"/>
      <c r="E1" s="14"/>
      <c r="F1" s="14"/>
      <c r="G1" s="14"/>
      <c r="H1" s="14"/>
      <c r="I1" s="14"/>
      <c r="J1" s="14"/>
      <c r="K1" s="14"/>
      <c r="L1" s="14"/>
      <c r="M1" s="14"/>
      <c r="N1" s="14"/>
    </row>
    <row r="2" spans="1:14" ht="14.4" customHeight="1" x14ac:dyDescent="0.3">
      <c r="A2" s="14"/>
      <c r="B2" s="14"/>
      <c r="C2" s="14"/>
      <c r="D2" s="14"/>
      <c r="E2" s="14"/>
      <c r="F2" s="14"/>
      <c r="G2" s="14"/>
      <c r="H2" s="14"/>
      <c r="I2" s="14"/>
      <c r="J2" s="14"/>
      <c r="K2" s="14"/>
      <c r="L2" s="14"/>
      <c r="M2" s="14"/>
      <c r="N2" s="14"/>
    </row>
    <row r="3" spans="1:14" ht="14.4" customHeight="1" x14ac:dyDescent="0.3">
      <c r="A3" s="14"/>
      <c r="B3" s="14"/>
      <c r="C3" s="14"/>
      <c r="D3" s="14"/>
      <c r="E3" s="14"/>
      <c r="F3" s="14"/>
      <c r="G3" s="14"/>
      <c r="H3" s="14"/>
      <c r="I3" s="14"/>
      <c r="J3" s="14"/>
      <c r="K3" s="14"/>
      <c r="L3" s="14"/>
      <c r="M3" s="14"/>
      <c r="N3" s="14"/>
    </row>
    <row r="4" spans="1:14" x14ac:dyDescent="0.3">
      <c r="A4" s="17">
        <f>GETPIVOTDATA("Revenue",'RevenuebyCuisine&amp;Zone'!$A$3)</f>
        <v>189430</v>
      </c>
      <c r="B4" s="17"/>
      <c r="C4" s="17"/>
      <c r="D4" s="17"/>
      <c r="E4" s="15"/>
      <c r="F4" s="16">
        <f>GETPIVOTDATA("Rating",'RevenuebyCuisine&amp;Zone'!$I$3)</f>
        <v>4.0890000000000004</v>
      </c>
      <c r="G4" s="16"/>
      <c r="H4" s="16"/>
      <c r="I4" s="16"/>
      <c r="J4" s="18">
        <f>GETPIVOTDATA("Sum of Fast Delivery",'Order Count by Month '!$K$1)/GETPIVOTDATA("Count of OrderID",'Order Count by Month '!$K$1)</f>
        <v>0.66</v>
      </c>
      <c r="K4" s="18"/>
      <c r="L4" s="18"/>
      <c r="M4" s="18"/>
      <c r="N4" s="18"/>
    </row>
    <row r="5" spans="1:14" x14ac:dyDescent="0.3">
      <c r="A5" s="17"/>
      <c r="B5" s="17"/>
      <c r="C5" s="17"/>
      <c r="D5" s="17"/>
      <c r="E5" s="15"/>
      <c r="F5" s="16"/>
      <c r="G5" s="16"/>
      <c r="H5" s="16"/>
      <c r="I5" s="16"/>
      <c r="J5" s="18"/>
      <c r="K5" s="18"/>
      <c r="L5" s="18"/>
      <c r="M5" s="18"/>
      <c r="N5" s="18"/>
    </row>
    <row r="6" spans="1:14" x14ac:dyDescent="0.3">
      <c r="A6" s="17"/>
      <c r="B6" s="17"/>
      <c r="C6" s="17"/>
      <c r="D6" s="17"/>
      <c r="E6" s="15"/>
      <c r="F6" s="16"/>
      <c r="G6" s="16"/>
      <c r="H6" s="16"/>
      <c r="I6" s="16"/>
      <c r="J6" s="18"/>
      <c r="K6" s="18"/>
      <c r="L6" s="18"/>
      <c r="M6" s="18"/>
      <c r="N6" s="18"/>
    </row>
    <row r="7" spans="1:14" x14ac:dyDescent="0.3">
      <c r="A7" s="17"/>
      <c r="B7" s="17"/>
      <c r="C7" s="17"/>
      <c r="D7" s="17"/>
      <c r="E7" s="15"/>
      <c r="F7" s="16"/>
      <c r="G7" s="16"/>
      <c r="H7" s="16"/>
      <c r="I7" s="16"/>
      <c r="J7" s="18"/>
      <c r="K7" s="18"/>
      <c r="L7" s="18"/>
      <c r="M7" s="18"/>
      <c r="N7" s="18"/>
    </row>
  </sheetData>
  <mergeCells count="5">
    <mergeCell ref="A1:N3"/>
    <mergeCell ref="A4:D7"/>
    <mergeCell ref="F4:I7"/>
    <mergeCell ref="J4:N7"/>
    <mergeCell ref="E4:E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 Sheet</vt:lpstr>
      <vt:lpstr>Restaurants</vt:lpstr>
      <vt:lpstr>Zone Stats</vt:lpstr>
      <vt:lpstr>RevenuebyCuisine&amp;Zone</vt:lpstr>
      <vt:lpstr>Order Count by Month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vekariya hitesh</dc:creator>
  <cp:lastModifiedBy>vekariya hitesh</cp:lastModifiedBy>
  <dcterms:created xsi:type="dcterms:W3CDTF">2026-09-29T17:05:35Z</dcterms:created>
  <dcterms:modified xsi:type="dcterms:W3CDTF">2026-09-29T18:31:46Z</dcterms:modified>
</cp:coreProperties>
</file>