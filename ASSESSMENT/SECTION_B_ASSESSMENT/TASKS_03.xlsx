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timelines/timeline1.xml" ContentType="application/vnd.ms-excel.timeline+xml"/>
  <Override PartName="/xl/drawings/drawing3.xml" ContentType="application/vnd.openxmlformats-officedocument.drawing+xml"/>
  <Override PartName="/xl/slicers/slicer2.xml" ContentType="application/vnd.ms-excel.slicer+xml"/>
  <Override PartName="/xl/timelines/timeline2.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A:\Data Analytics\Excel\Assign &amp; Asses\ASSESSMENT\SECTION_B_ASSESSMENT\"/>
    </mc:Choice>
  </mc:AlternateContent>
  <xr:revisionPtr revIDLastSave="0" documentId="13_ncr:1_{4B2D729F-7603-4C25-BC38-AE9FE242FA73}" xr6:coauthVersionLast="47" xr6:coauthVersionMax="47" xr10:uidLastSave="{00000000-0000-0000-0000-000000000000}"/>
  <bookViews>
    <workbookView xWindow="-108" yWindow="-108" windowWidth="23256" windowHeight="12576" activeTab="3" xr2:uid="{A7A512F6-C2B2-4A59-828B-936F81F60E48}"/>
  </bookViews>
  <sheets>
    <sheet name="TBLORDERS" sheetId="1" r:id="rId1"/>
    <sheet name="REVENUEBYCUISINE" sheetId="2" r:id="rId2"/>
    <sheet name="ORDERBYTIMELINE" sheetId="3" r:id="rId3"/>
    <sheet name="DASHBOARD" sheetId="4" r:id="rId4"/>
  </sheets>
  <definedNames>
    <definedName name="NativeTimeline_OrderDate">#N/A</definedName>
    <definedName name="Slicer_Cuisin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4" i="4" l="1"/>
  <c r="G4" i="4"/>
  <c r="A4" i="4"/>
</calcChain>
</file>

<file path=xl/sharedStrings.xml><?xml version="1.0" encoding="utf-8"?>
<sst xmlns="http://schemas.openxmlformats.org/spreadsheetml/2006/main" count="452" uniqueCount="131">
  <si>
    <t>OrderID</t>
  </si>
  <si>
    <t>OrderDate</t>
  </si>
  <si>
    <t>Cuisine</t>
  </si>
  <si>
    <t>Zone</t>
  </si>
  <si>
    <t>Revenue (₹)</t>
  </si>
  <si>
    <t>DeliveryTime</t>
  </si>
  <si>
    <t>Status</t>
  </si>
  <si>
    <t>Orders</t>
  </si>
  <si>
    <t>ORD001</t>
  </si>
  <si>
    <t>Indian</t>
  </si>
  <si>
    <t>West</t>
  </si>
  <si>
    <t>Delivered</t>
  </si>
  <si>
    <t>ORD002</t>
  </si>
  <si>
    <t>Chinese</t>
  </si>
  <si>
    <t>Central</t>
  </si>
  <si>
    <t>ORD003</t>
  </si>
  <si>
    <t>Italian</t>
  </si>
  <si>
    <t>North</t>
  </si>
  <si>
    <t>ORD004</t>
  </si>
  <si>
    <t>Mexican</t>
  </si>
  <si>
    <t>East</t>
  </si>
  <si>
    <t>ORD005</t>
  </si>
  <si>
    <t>South Indian</t>
  </si>
  <si>
    <t>ORD006</t>
  </si>
  <si>
    <t>ORD007</t>
  </si>
  <si>
    <t>ORD008</t>
  </si>
  <si>
    <t>ORD009</t>
  </si>
  <si>
    <t>ORD010</t>
  </si>
  <si>
    <t>ORD011</t>
  </si>
  <si>
    <t>ORD012</t>
  </si>
  <si>
    <t>ORD013</t>
  </si>
  <si>
    <t>ORD014</t>
  </si>
  <si>
    <t>ORD015</t>
  </si>
  <si>
    <t>ORD016</t>
  </si>
  <si>
    <t>ORD017</t>
  </si>
  <si>
    <t>ORD018</t>
  </si>
  <si>
    <t>Delayed</t>
  </si>
  <si>
    <t>ORD019</t>
  </si>
  <si>
    <t>ORD020</t>
  </si>
  <si>
    <t>ORD021</t>
  </si>
  <si>
    <t>ORD022</t>
  </si>
  <si>
    <t>ORD023</t>
  </si>
  <si>
    <t>ORD024</t>
  </si>
  <si>
    <t>ORD025</t>
  </si>
  <si>
    <t>ORD026</t>
  </si>
  <si>
    <t>ORD027</t>
  </si>
  <si>
    <t>ORD028</t>
  </si>
  <si>
    <t>ORD029</t>
  </si>
  <si>
    <t>ORD030</t>
  </si>
  <si>
    <t>ORD031</t>
  </si>
  <si>
    <t>ORD032</t>
  </si>
  <si>
    <t>ORD033</t>
  </si>
  <si>
    <t>ORD034</t>
  </si>
  <si>
    <t>ORD035</t>
  </si>
  <si>
    <t>ORD036</t>
  </si>
  <si>
    <t>ORD037</t>
  </si>
  <si>
    <t>ORD038</t>
  </si>
  <si>
    <t>ORD039</t>
  </si>
  <si>
    <t>ORD040</t>
  </si>
  <si>
    <t>ORD041</t>
  </si>
  <si>
    <t>ORD042</t>
  </si>
  <si>
    <t>ORD043</t>
  </si>
  <si>
    <t>ORD044</t>
  </si>
  <si>
    <t>ORD045</t>
  </si>
  <si>
    <t>ORD046</t>
  </si>
  <si>
    <t>ORD047</t>
  </si>
  <si>
    <t>ORD048</t>
  </si>
  <si>
    <t>ORD049</t>
  </si>
  <si>
    <t>ORD050</t>
  </si>
  <si>
    <t>ORD051</t>
  </si>
  <si>
    <t>ORD052</t>
  </si>
  <si>
    <t>ORD053</t>
  </si>
  <si>
    <t>ORD054</t>
  </si>
  <si>
    <t>ORD055</t>
  </si>
  <si>
    <t>ORD056</t>
  </si>
  <si>
    <t>ORD057</t>
  </si>
  <si>
    <t>ORD058</t>
  </si>
  <si>
    <t>ORD059</t>
  </si>
  <si>
    <t>ORD060</t>
  </si>
  <si>
    <t>ORD061</t>
  </si>
  <si>
    <t>ORD062</t>
  </si>
  <si>
    <t>ORD063</t>
  </si>
  <si>
    <t>ORD064</t>
  </si>
  <si>
    <t>ORD065</t>
  </si>
  <si>
    <t>ORD066</t>
  </si>
  <si>
    <t>ORD067</t>
  </si>
  <si>
    <t>ORD068</t>
  </si>
  <si>
    <t>ORD069</t>
  </si>
  <si>
    <t>ORD070</t>
  </si>
  <si>
    <t>ORD071</t>
  </si>
  <si>
    <t>ORD072</t>
  </si>
  <si>
    <t>ORD073</t>
  </si>
  <si>
    <t>ORD074</t>
  </si>
  <si>
    <t>ORD075</t>
  </si>
  <si>
    <t>ORD076</t>
  </si>
  <si>
    <t>ORD077</t>
  </si>
  <si>
    <t>ORD078</t>
  </si>
  <si>
    <t>ORD079</t>
  </si>
  <si>
    <t>ORD080</t>
  </si>
  <si>
    <t>ORD081</t>
  </si>
  <si>
    <t>ORD082</t>
  </si>
  <si>
    <t>ORD083</t>
  </si>
  <si>
    <t>ORD084</t>
  </si>
  <si>
    <t>ORD085</t>
  </si>
  <si>
    <t>ORD086</t>
  </si>
  <si>
    <t>ORD087</t>
  </si>
  <si>
    <t>ORD088</t>
  </si>
  <si>
    <t>ORD089</t>
  </si>
  <si>
    <t>ORD090</t>
  </si>
  <si>
    <t>ORD091</t>
  </si>
  <si>
    <t>ORD092</t>
  </si>
  <si>
    <t>ORD093</t>
  </si>
  <si>
    <t>ORD094</t>
  </si>
  <si>
    <t>ORD095</t>
  </si>
  <si>
    <t>ORD096</t>
  </si>
  <si>
    <t>ORD097</t>
  </si>
  <si>
    <t>ORD098</t>
  </si>
  <si>
    <t>ORD099</t>
  </si>
  <si>
    <t>ORD100</t>
  </si>
  <si>
    <t>Sum of Revenue (₹)</t>
  </si>
  <si>
    <t>Row Labels</t>
  </si>
  <si>
    <t>Grand Total</t>
  </si>
  <si>
    <t>Column Labels</t>
  </si>
  <si>
    <t>(All)</t>
  </si>
  <si>
    <t>Qtr1</t>
  </si>
  <si>
    <t>Qtr2</t>
  </si>
  <si>
    <t>Count of OrderID</t>
  </si>
  <si>
    <t>Total Sum of Revenue (₹)</t>
  </si>
  <si>
    <t>Total Sum of AvgRevenuePerOrder</t>
  </si>
  <si>
    <t>Sum of AvgRevenuePerOrder</t>
  </si>
  <si>
    <t xml:space="preserve">FOOD DELIVERY REVENUE &amp; TREND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</si>
</sst>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b/>
      <sz val="20"/>
      <color theme="0" tint="-4.9989318521683403E-2"/>
      <name val="Calibri"/>
      <family val="2"/>
      <scheme val="minor"/>
    </font>
    <font>
      <b/>
      <sz val="22"/>
      <color theme="0" tint="-4.9989318521683403E-2"/>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1"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0">
    <xf numFmtId="0" fontId="0" fillId="0" borderId="0" xfId="0"/>
    <xf numFmtId="0" fontId="1" fillId="0" borderId="0" xfId="0" applyFont="1" applyAlignment="1">
      <alignment horizontal="center" vertical="center"/>
    </xf>
    <xf numFmtId="0" fontId="0" fillId="0" borderId="1" xfId="0" applyBorder="1" applyAlignment="1">
      <alignment horizontal="center" vertical="center"/>
    </xf>
    <xf numFmtId="15" fontId="0" fillId="0" borderId="1" xfId="0" applyNumberFormat="1" applyBorder="1" applyAlignment="1">
      <alignment horizontal="center" vertical="center"/>
    </xf>
    <xf numFmtId="0" fontId="0" fillId="0" borderId="0" xfId="0" applyNumberFormat="1"/>
    <xf numFmtId="0" fontId="0" fillId="0" borderId="0" xfId="0" pivotButton="1"/>
    <xf numFmtId="0" fontId="0" fillId="0" borderId="0" xfId="0" applyAlignment="1">
      <alignment horizontal="left"/>
    </xf>
    <xf numFmtId="0" fontId="3" fillId="2" borderId="0" xfId="0" applyFont="1" applyFill="1" applyAlignment="1">
      <alignment horizontal="center" vertical="center"/>
    </xf>
    <xf numFmtId="0" fontId="2" fillId="3" borderId="0" xfId="0" applyFont="1" applyFill="1" applyAlignment="1">
      <alignment horizontal="center"/>
    </xf>
    <xf numFmtId="0" fontId="0" fillId="3" borderId="0" xfId="0" applyFill="1" applyAlignment="1">
      <alignment horizontal="center"/>
    </xf>
  </cellXfs>
  <cellStyles count="1">
    <cellStyle name="Normal" xfId="0" builtinId="0"/>
  </cellStyles>
  <dxfs count="10">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20" formatCode="d\-mmm\-yy"/>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11/relationships/timelineCache" Target="timelineCaches/timelineCach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[TASKS_03.xlsx]REVENUEBYCUISINE!PivotTable3</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BASED ON CUISINE &amp; ZONE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REVENUEBYCUISINE!$B$13:$B$14</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REVENUEBYCUISINE!$A$15:$A$20</c:f>
              <c:strCache>
                <c:ptCount val="5"/>
                <c:pt idx="0">
                  <c:v>Chinese</c:v>
                </c:pt>
                <c:pt idx="1">
                  <c:v>Indian</c:v>
                </c:pt>
                <c:pt idx="2">
                  <c:v>Italian</c:v>
                </c:pt>
                <c:pt idx="3">
                  <c:v>Mexican</c:v>
                </c:pt>
                <c:pt idx="4">
                  <c:v>South Indian</c:v>
                </c:pt>
              </c:strCache>
            </c:strRef>
          </c:cat>
          <c:val>
            <c:numRef>
              <c:f>REVENUEBYCUISINE!$B$15:$B$20</c:f>
              <c:numCache>
                <c:formatCode>General</c:formatCode>
                <c:ptCount val="5"/>
                <c:pt idx="0">
                  <c:v>4000</c:v>
                </c:pt>
                <c:pt idx="1">
                  <c:v>4910</c:v>
                </c:pt>
                <c:pt idx="2">
                  <c:v>8380</c:v>
                </c:pt>
                <c:pt idx="3">
                  <c:v>2510</c:v>
                </c:pt>
                <c:pt idx="4">
                  <c:v>2670</c:v>
                </c:pt>
              </c:numCache>
            </c:numRef>
          </c:val>
          <c:extLst>
            <c:ext xmlns:c16="http://schemas.microsoft.com/office/drawing/2014/chart" uri="{C3380CC4-5D6E-409C-BE32-E72D297353CC}">
              <c16:uniqueId val="{00000000-E8F9-4280-A53D-AF4E75345329}"/>
            </c:ext>
          </c:extLst>
        </c:ser>
        <c:ser>
          <c:idx val="1"/>
          <c:order val="1"/>
          <c:tx>
            <c:strRef>
              <c:f>REVENUEBYCUISINE!$C$13:$C$14</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REVENUEBYCUISINE!$A$15:$A$20</c:f>
              <c:strCache>
                <c:ptCount val="5"/>
                <c:pt idx="0">
                  <c:v>Chinese</c:v>
                </c:pt>
                <c:pt idx="1">
                  <c:v>Indian</c:v>
                </c:pt>
                <c:pt idx="2">
                  <c:v>Italian</c:v>
                </c:pt>
                <c:pt idx="3">
                  <c:v>Mexican</c:v>
                </c:pt>
                <c:pt idx="4">
                  <c:v>South Indian</c:v>
                </c:pt>
              </c:strCache>
            </c:strRef>
          </c:cat>
          <c:val>
            <c:numRef>
              <c:f>REVENUEBYCUISINE!$C$15:$C$20</c:f>
              <c:numCache>
                <c:formatCode>General</c:formatCode>
                <c:ptCount val="5"/>
                <c:pt idx="0">
                  <c:v>4290</c:v>
                </c:pt>
                <c:pt idx="1">
                  <c:v>5570</c:v>
                </c:pt>
                <c:pt idx="2">
                  <c:v>8900</c:v>
                </c:pt>
                <c:pt idx="3">
                  <c:v>5340</c:v>
                </c:pt>
                <c:pt idx="4">
                  <c:v>1160</c:v>
                </c:pt>
              </c:numCache>
            </c:numRef>
          </c:val>
          <c:extLst>
            <c:ext xmlns:c16="http://schemas.microsoft.com/office/drawing/2014/chart" uri="{C3380CC4-5D6E-409C-BE32-E72D297353CC}">
              <c16:uniqueId val="{00000000-5FE7-4A81-8571-17B10719D2A2}"/>
            </c:ext>
          </c:extLst>
        </c:ser>
        <c:ser>
          <c:idx val="2"/>
          <c:order val="2"/>
          <c:tx>
            <c:strRef>
              <c:f>REVENUEBYCUISINE!$D$13:$D$14</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REVENUEBYCUISINE!$A$15:$A$20</c:f>
              <c:strCache>
                <c:ptCount val="5"/>
                <c:pt idx="0">
                  <c:v>Chinese</c:v>
                </c:pt>
                <c:pt idx="1">
                  <c:v>Indian</c:v>
                </c:pt>
                <c:pt idx="2">
                  <c:v>Italian</c:v>
                </c:pt>
                <c:pt idx="3">
                  <c:v>Mexican</c:v>
                </c:pt>
                <c:pt idx="4">
                  <c:v>South Indian</c:v>
                </c:pt>
              </c:strCache>
            </c:strRef>
          </c:cat>
          <c:val>
            <c:numRef>
              <c:f>REVENUEBYCUISINE!$D$15:$D$20</c:f>
              <c:numCache>
                <c:formatCode>General</c:formatCode>
                <c:ptCount val="5"/>
                <c:pt idx="0">
                  <c:v>1400</c:v>
                </c:pt>
                <c:pt idx="1">
                  <c:v>2950</c:v>
                </c:pt>
                <c:pt idx="2">
                  <c:v>2670</c:v>
                </c:pt>
                <c:pt idx="3">
                  <c:v>7770</c:v>
                </c:pt>
                <c:pt idx="4">
                  <c:v>4100</c:v>
                </c:pt>
              </c:numCache>
            </c:numRef>
          </c:val>
          <c:extLst>
            <c:ext xmlns:c16="http://schemas.microsoft.com/office/drawing/2014/chart" uri="{C3380CC4-5D6E-409C-BE32-E72D297353CC}">
              <c16:uniqueId val="{00000004-5FE7-4A81-8571-17B10719D2A2}"/>
            </c:ext>
          </c:extLst>
        </c:ser>
        <c:ser>
          <c:idx val="3"/>
          <c:order val="3"/>
          <c:tx>
            <c:strRef>
              <c:f>REVENUEBYCUISINE!$E$13:$E$14</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REVENUEBYCUISINE!$A$15:$A$20</c:f>
              <c:strCache>
                <c:ptCount val="5"/>
                <c:pt idx="0">
                  <c:v>Chinese</c:v>
                </c:pt>
                <c:pt idx="1">
                  <c:v>Indian</c:v>
                </c:pt>
                <c:pt idx="2">
                  <c:v>Italian</c:v>
                </c:pt>
                <c:pt idx="3">
                  <c:v>Mexican</c:v>
                </c:pt>
                <c:pt idx="4">
                  <c:v>South Indian</c:v>
                </c:pt>
              </c:strCache>
            </c:strRef>
          </c:cat>
          <c:val>
            <c:numRef>
              <c:f>REVENUEBYCUISINE!$E$15:$E$20</c:f>
              <c:numCache>
                <c:formatCode>General</c:formatCode>
                <c:ptCount val="5"/>
                <c:pt idx="0">
                  <c:v>4140</c:v>
                </c:pt>
                <c:pt idx="1">
                  <c:v>6190</c:v>
                </c:pt>
                <c:pt idx="2">
                  <c:v>8700</c:v>
                </c:pt>
                <c:pt idx="3">
                  <c:v>1880</c:v>
                </c:pt>
                <c:pt idx="4">
                  <c:v>3650</c:v>
                </c:pt>
              </c:numCache>
            </c:numRef>
          </c:val>
          <c:extLst>
            <c:ext xmlns:c16="http://schemas.microsoft.com/office/drawing/2014/chart" uri="{C3380CC4-5D6E-409C-BE32-E72D297353CC}">
              <c16:uniqueId val="{00000005-5FE7-4A81-8571-17B10719D2A2}"/>
            </c:ext>
          </c:extLst>
        </c:ser>
        <c:dLbls>
          <c:dLblPos val="outEnd"/>
          <c:showLegendKey val="0"/>
          <c:showVal val="1"/>
          <c:showCatName val="0"/>
          <c:showSerName val="0"/>
          <c:showPercent val="0"/>
          <c:showBubbleSize val="0"/>
        </c:dLbls>
        <c:gapWidth val="115"/>
        <c:overlap val="-20"/>
        <c:axId val="1937585103"/>
        <c:axId val="1937586351"/>
      </c:barChart>
      <c:catAx>
        <c:axId val="19375851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586351"/>
        <c:crosses val="autoZero"/>
        <c:auto val="1"/>
        <c:lblAlgn val="ctr"/>
        <c:lblOffset val="100"/>
        <c:noMultiLvlLbl val="0"/>
      </c:catAx>
      <c:valAx>
        <c:axId val="19375863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5851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[TASKS_03.xlsx]REVENUEBYCUISINE!PivotTable3</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REVENUE BASED ON CUISINE &amp; ZONE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square"/>
          <c:size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triangle"/>
          <c:size val="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x"/>
          <c:size val="5"/>
          <c:spPr>
            <a:no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REVENUEBYCUISINE!$B$13:$B$14</c:f>
              <c:strCache>
                <c:ptCount val="1"/>
                <c:pt idx="0">
                  <c:v>Central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REVENUEBYCUISINE!$A$15:$A$20</c:f>
              <c:strCache>
                <c:ptCount val="5"/>
                <c:pt idx="0">
                  <c:v>Chinese</c:v>
                </c:pt>
                <c:pt idx="1">
                  <c:v>Indian</c:v>
                </c:pt>
                <c:pt idx="2">
                  <c:v>Italian</c:v>
                </c:pt>
                <c:pt idx="3">
                  <c:v>Mexican</c:v>
                </c:pt>
                <c:pt idx="4">
                  <c:v>South Indian</c:v>
                </c:pt>
              </c:strCache>
            </c:strRef>
          </c:cat>
          <c:val>
            <c:numRef>
              <c:f>REVENUEBYCUISINE!$B$15:$B$20</c:f>
              <c:numCache>
                <c:formatCode>General</c:formatCode>
                <c:ptCount val="5"/>
                <c:pt idx="0">
                  <c:v>4000</c:v>
                </c:pt>
                <c:pt idx="1">
                  <c:v>4910</c:v>
                </c:pt>
                <c:pt idx="2">
                  <c:v>8380</c:v>
                </c:pt>
                <c:pt idx="3">
                  <c:v>2510</c:v>
                </c:pt>
                <c:pt idx="4">
                  <c:v>2670</c:v>
                </c:pt>
              </c:numCache>
            </c:numRef>
          </c:val>
          <c:extLst>
            <c:ext xmlns:c16="http://schemas.microsoft.com/office/drawing/2014/chart" uri="{C3380CC4-5D6E-409C-BE32-E72D297353CC}">
              <c16:uniqueId val="{00000000-5B1E-4B95-B1BD-E4AA0C6A3230}"/>
            </c:ext>
          </c:extLst>
        </c:ser>
        <c:ser>
          <c:idx val="1"/>
          <c:order val="1"/>
          <c:tx>
            <c:strRef>
              <c:f>REVENUEBYCUISINE!$C$13:$C$14</c:f>
              <c:strCache>
                <c:ptCount val="1"/>
                <c:pt idx="0">
                  <c:v>East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REVENUEBYCUISINE!$A$15:$A$20</c:f>
              <c:strCache>
                <c:ptCount val="5"/>
                <c:pt idx="0">
                  <c:v>Chinese</c:v>
                </c:pt>
                <c:pt idx="1">
                  <c:v>Indian</c:v>
                </c:pt>
                <c:pt idx="2">
                  <c:v>Italian</c:v>
                </c:pt>
                <c:pt idx="3">
                  <c:v>Mexican</c:v>
                </c:pt>
                <c:pt idx="4">
                  <c:v>South Indian</c:v>
                </c:pt>
              </c:strCache>
            </c:strRef>
          </c:cat>
          <c:val>
            <c:numRef>
              <c:f>REVENUEBYCUISINE!$C$15:$C$20</c:f>
              <c:numCache>
                <c:formatCode>General</c:formatCode>
                <c:ptCount val="5"/>
                <c:pt idx="0">
                  <c:v>4290</c:v>
                </c:pt>
                <c:pt idx="1">
                  <c:v>5570</c:v>
                </c:pt>
                <c:pt idx="2">
                  <c:v>8900</c:v>
                </c:pt>
                <c:pt idx="3">
                  <c:v>5340</c:v>
                </c:pt>
                <c:pt idx="4">
                  <c:v>1160</c:v>
                </c:pt>
              </c:numCache>
            </c:numRef>
          </c:val>
          <c:extLst>
            <c:ext xmlns:c16="http://schemas.microsoft.com/office/drawing/2014/chart" uri="{C3380CC4-5D6E-409C-BE32-E72D297353CC}">
              <c16:uniqueId val="{00000001-8F0D-43A4-AD4D-E38891A46885}"/>
            </c:ext>
          </c:extLst>
        </c:ser>
        <c:ser>
          <c:idx val="2"/>
          <c:order val="2"/>
          <c:tx>
            <c:strRef>
              <c:f>REVENUEBYCUISINE!$D$13:$D$14</c:f>
              <c:strCache>
                <c:ptCount val="1"/>
                <c:pt idx="0">
                  <c:v>North</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REVENUEBYCUISINE!$A$15:$A$20</c:f>
              <c:strCache>
                <c:ptCount val="5"/>
                <c:pt idx="0">
                  <c:v>Chinese</c:v>
                </c:pt>
                <c:pt idx="1">
                  <c:v>Indian</c:v>
                </c:pt>
                <c:pt idx="2">
                  <c:v>Italian</c:v>
                </c:pt>
                <c:pt idx="3">
                  <c:v>Mexican</c:v>
                </c:pt>
                <c:pt idx="4">
                  <c:v>South Indian</c:v>
                </c:pt>
              </c:strCache>
            </c:strRef>
          </c:cat>
          <c:val>
            <c:numRef>
              <c:f>REVENUEBYCUISINE!$D$15:$D$20</c:f>
              <c:numCache>
                <c:formatCode>General</c:formatCode>
                <c:ptCount val="5"/>
                <c:pt idx="0">
                  <c:v>1400</c:v>
                </c:pt>
                <c:pt idx="1">
                  <c:v>2950</c:v>
                </c:pt>
                <c:pt idx="2">
                  <c:v>2670</c:v>
                </c:pt>
                <c:pt idx="3">
                  <c:v>7770</c:v>
                </c:pt>
                <c:pt idx="4">
                  <c:v>4100</c:v>
                </c:pt>
              </c:numCache>
            </c:numRef>
          </c:val>
          <c:extLst>
            <c:ext xmlns:c16="http://schemas.microsoft.com/office/drawing/2014/chart" uri="{C3380CC4-5D6E-409C-BE32-E72D297353CC}">
              <c16:uniqueId val="{00000004-8F0D-43A4-AD4D-E38891A46885}"/>
            </c:ext>
          </c:extLst>
        </c:ser>
        <c:ser>
          <c:idx val="3"/>
          <c:order val="3"/>
          <c:tx>
            <c:strRef>
              <c:f>REVENUEBYCUISINE!$E$13:$E$14</c:f>
              <c:strCache>
                <c:ptCount val="1"/>
                <c:pt idx="0">
                  <c:v>West</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REVENUEBYCUISINE!$A$15:$A$20</c:f>
              <c:strCache>
                <c:ptCount val="5"/>
                <c:pt idx="0">
                  <c:v>Chinese</c:v>
                </c:pt>
                <c:pt idx="1">
                  <c:v>Indian</c:v>
                </c:pt>
                <c:pt idx="2">
                  <c:v>Italian</c:v>
                </c:pt>
                <c:pt idx="3">
                  <c:v>Mexican</c:v>
                </c:pt>
                <c:pt idx="4">
                  <c:v>South Indian</c:v>
                </c:pt>
              </c:strCache>
            </c:strRef>
          </c:cat>
          <c:val>
            <c:numRef>
              <c:f>REVENUEBYCUISINE!$E$15:$E$20</c:f>
              <c:numCache>
                <c:formatCode>General</c:formatCode>
                <c:ptCount val="5"/>
                <c:pt idx="0">
                  <c:v>4140</c:v>
                </c:pt>
                <c:pt idx="1">
                  <c:v>6190</c:v>
                </c:pt>
                <c:pt idx="2">
                  <c:v>8700</c:v>
                </c:pt>
                <c:pt idx="3">
                  <c:v>1880</c:v>
                </c:pt>
                <c:pt idx="4">
                  <c:v>3650</c:v>
                </c:pt>
              </c:numCache>
            </c:numRef>
          </c:val>
          <c:extLst>
            <c:ext xmlns:c16="http://schemas.microsoft.com/office/drawing/2014/chart" uri="{C3380CC4-5D6E-409C-BE32-E72D297353CC}">
              <c16:uniqueId val="{00000005-8F0D-43A4-AD4D-E38891A46885}"/>
            </c:ext>
          </c:extLst>
        </c:ser>
        <c:dLbls>
          <c:dLblPos val="outEnd"/>
          <c:showLegendKey val="0"/>
          <c:showVal val="1"/>
          <c:showCatName val="0"/>
          <c:showSerName val="0"/>
          <c:showPercent val="0"/>
          <c:showBubbleSize val="0"/>
        </c:dLbls>
        <c:gapWidth val="115"/>
        <c:overlap val="-20"/>
        <c:axId val="1937585103"/>
        <c:axId val="1937586351"/>
      </c:barChart>
      <c:catAx>
        <c:axId val="193758510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586351"/>
        <c:crosses val="autoZero"/>
        <c:auto val="1"/>
        <c:lblAlgn val="ctr"/>
        <c:lblOffset val="100"/>
        <c:noMultiLvlLbl val="0"/>
      </c:catAx>
      <c:valAx>
        <c:axId val="193758635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37585103"/>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6</xdr:col>
      <xdr:colOff>76200</xdr:colOff>
      <xdr:row>11</xdr:row>
      <xdr:rowOff>171450</xdr:rowOff>
    </xdr:from>
    <xdr:to>
      <xdr:col>11</xdr:col>
      <xdr:colOff>22860</xdr:colOff>
      <xdr:row>27</xdr:row>
      <xdr:rowOff>152400</xdr:rowOff>
    </xdr:to>
    <xdr:graphicFrame macro="">
      <xdr:nvGraphicFramePr>
        <xdr:cNvPr id="3" name="Chart 2">
          <a:extLst>
            <a:ext uri="{FF2B5EF4-FFF2-40B4-BE49-F238E27FC236}">
              <a16:creationId xmlns:a16="http://schemas.microsoft.com/office/drawing/2014/main" id="{8DBE00C1-CD80-427E-8AE8-DB890553CC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91440</xdr:colOff>
      <xdr:row>20</xdr:row>
      <xdr:rowOff>76200</xdr:rowOff>
    </xdr:from>
    <xdr:to>
      <xdr:col>3</xdr:col>
      <xdr:colOff>411480</xdr:colOff>
      <xdr:row>31</xdr:row>
      <xdr:rowOff>0</xdr:rowOff>
    </xdr:to>
    <mc:AlternateContent xmlns:mc="http://schemas.openxmlformats.org/markup-compatibility/2006" xmlns:a14="http://schemas.microsoft.com/office/drawing/2010/main">
      <mc:Choice Requires="a14">
        <xdr:graphicFrame macro="">
          <xdr:nvGraphicFramePr>
            <xdr:cNvPr id="4" name="Cuisine">
              <a:extLst>
                <a:ext uri="{FF2B5EF4-FFF2-40B4-BE49-F238E27FC236}">
                  <a16:creationId xmlns:a16="http://schemas.microsoft.com/office/drawing/2014/main" id="{9A211A58-564C-408C-90AD-D73EBE4A3E8D}"/>
                </a:ext>
              </a:extLst>
            </xdr:cNvPr>
            <xdr:cNvGraphicFramePr/>
          </xdr:nvGraphicFramePr>
          <xdr:xfrm>
            <a:off x="0" y="0"/>
            <a:ext cx="0" cy="0"/>
          </xdr:xfrm>
          <a:graphic>
            <a:graphicData uri="http://schemas.microsoft.com/office/drawing/2010/slicer">
              <sle:slicer xmlns:sle="http://schemas.microsoft.com/office/drawing/2010/slicer" name="Cuisine"/>
            </a:graphicData>
          </a:graphic>
        </xdr:graphicFrame>
      </mc:Choice>
      <mc:Fallback xmlns="">
        <xdr:sp macro="" textlink="">
          <xdr:nvSpPr>
            <xdr:cNvPr id="0" name=""/>
            <xdr:cNvSpPr>
              <a:spLocks noTextEdit="1"/>
            </xdr:cNvSpPr>
          </xdr:nvSpPr>
          <xdr:spPr>
            <a:xfrm>
              <a:off x="91440" y="3733800"/>
              <a:ext cx="4183380" cy="1935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601980</xdr:colOff>
      <xdr:row>2</xdr:row>
      <xdr:rowOff>7620</xdr:rowOff>
    </xdr:from>
    <xdr:to>
      <xdr:col>12</xdr:col>
      <xdr:colOff>274320</xdr:colOff>
      <xdr:row>10</xdr:row>
      <xdr:rowOff>0</xdr:rowOff>
    </xdr:to>
    <mc:AlternateContent xmlns:mc="http://schemas.openxmlformats.org/markup-compatibility/2006" xmlns:tsle="http://schemas.microsoft.com/office/drawing/2012/timeslicer">
      <mc:Choice Requires="tsle">
        <xdr:graphicFrame macro="">
          <xdr:nvGraphicFramePr>
            <xdr:cNvPr id="2" name="OrderDate">
              <a:extLst>
                <a:ext uri="{FF2B5EF4-FFF2-40B4-BE49-F238E27FC236}">
                  <a16:creationId xmlns:a16="http://schemas.microsoft.com/office/drawing/2014/main" id="{72CCD06D-07B6-42DA-8E5F-6C706573E0FF}"/>
                </a:ext>
              </a:extLst>
            </xdr:cNvPr>
            <xdr:cNvGraphicFramePr/>
          </xdr:nvGraphicFramePr>
          <xdr:xfrm>
            <a:off x="0" y="0"/>
            <a:ext cx="0" cy="0"/>
          </xdr:xfrm>
          <a:graphic>
            <a:graphicData uri="http://schemas.microsoft.com/office/drawing/2012/timeslicer">
              <tsle:timeslicer name="OrderDate"/>
            </a:graphicData>
          </a:graphic>
        </xdr:graphicFrame>
      </mc:Choice>
      <mc:Fallback xmlns="">
        <xdr:sp macro="" textlink="">
          <xdr:nvSpPr>
            <xdr:cNvPr id="0" name=""/>
            <xdr:cNvSpPr>
              <a:spLocks noTextEdit="1"/>
            </xdr:cNvSpPr>
          </xdr:nvSpPr>
          <xdr:spPr>
            <a:xfrm>
              <a:off x="2522220" y="373380"/>
              <a:ext cx="5768340" cy="145542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3</xdr:row>
      <xdr:rowOff>15240</xdr:rowOff>
    </xdr:from>
    <xdr:to>
      <xdr:col>5</xdr:col>
      <xdr:colOff>0</xdr:colOff>
      <xdr:row>5</xdr:row>
      <xdr:rowOff>83820</xdr:rowOff>
    </xdr:to>
    <xdr:sp macro="" textlink="">
      <xdr:nvSpPr>
        <xdr:cNvPr id="2" name="Rectangle 1">
          <a:extLst>
            <a:ext uri="{FF2B5EF4-FFF2-40B4-BE49-F238E27FC236}">
              <a16:creationId xmlns:a16="http://schemas.microsoft.com/office/drawing/2014/main" id="{FB6938C8-8162-401D-8F70-04D40EDD1FC1}"/>
            </a:ext>
          </a:extLst>
        </xdr:cNvPr>
        <xdr:cNvSpPr/>
      </xdr:nvSpPr>
      <xdr:spPr>
        <a:xfrm>
          <a:off x="15240" y="563880"/>
          <a:ext cx="3032760" cy="434340"/>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TOTAL REVENUE</a:t>
          </a:r>
        </a:p>
      </xdr:txBody>
    </xdr:sp>
    <xdr:clientData/>
  </xdr:twoCellAnchor>
  <xdr:twoCellAnchor>
    <xdr:from>
      <xdr:col>6</xdr:col>
      <xdr:colOff>15240</xdr:colOff>
      <xdr:row>3</xdr:row>
      <xdr:rowOff>15240</xdr:rowOff>
    </xdr:from>
    <xdr:to>
      <xdr:col>11</xdr:col>
      <xdr:colOff>0</xdr:colOff>
      <xdr:row>5</xdr:row>
      <xdr:rowOff>83820</xdr:rowOff>
    </xdr:to>
    <xdr:sp macro="" textlink="">
      <xdr:nvSpPr>
        <xdr:cNvPr id="3" name="Rectangle 2">
          <a:extLst>
            <a:ext uri="{FF2B5EF4-FFF2-40B4-BE49-F238E27FC236}">
              <a16:creationId xmlns:a16="http://schemas.microsoft.com/office/drawing/2014/main" id="{27377EA2-4BD9-4436-830C-CF2FBC597D46}"/>
            </a:ext>
          </a:extLst>
        </xdr:cNvPr>
        <xdr:cNvSpPr/>
      </xdr:nvSpPr>
      <xdr:spPr>
        <a:xfrm>
          <a:off x="3672840" y="563880"/>
          <a:ext cx="3032760" cy="434340"/>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MINIMUM ORDER</a:t>
          </a:r>
        </a:p>
      </xdr:txBody>
    </xdr:sp>
    <xdr:clientData/>
  </xdr:twoCellAnchor>
  <xdr:twoCellAnchor>
    <xdr:from>
      <xdr:col>12</xdr:col>
      <xdr:colOff>15240</xdr:colOff>
      <xdr:row>3</xdr:row>
      <xdr:rowOff>7620</xdr:rowOff>
    </xdr:from>
    <xdr:to>
      <xdr:col>17</xdr:col>
      <xdr:colOff>0</xdr:colOff>
      <xdr:row>5</xdr:row>
      <xdr:rowOff>76200</xdr:rowOff>
    </xdr:to>
    <xdr:sp macro="" textlink="">
      <xdr:nvSpPr>
        <xdr:cNvPr id="4" name="Rectangle 3">
          <a:extLst>
            <a:ext uri="{FF2B5EF4-FFF2-40B4-BE49-F238E27FC236}">
              <a16:creationId xmlns:a16="http://schemas.microsoft.com/office/drawing/2014/main" id="{CA6747FB-8E5D-4B5F-AC38-EA8422D60AEC}"/>
            </a:ext>
          </a:extLst>
        </xdr:cNvPr>
        <xdr:cNvSpPr/>
      </xdr:nvSpPr>
      <xdr:spPr>
        <a:xfrm>
          <a:off x="7330440" y="556260"/>
          <a:ext cx="3032760" cy="434340"/>
        </a:xfrm>
        <a:prstGeom prst="rect">
          <a:avLst/>
        </a:prstGeom>
        <a:solidFill>
          <a:schemeClr val="tx1">
            <a:lumMod val="50000"/>
            <a:lumOff val="50000"/>
          </a:schemeClr>
        </a:solidFill>
        <a:ln>
          <a:solidFill>
            <a:schemeClr val="tx1">
              <a:lumMod val="50000"/>
              <a:lumOff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800" b="1"/>
            <a:t>MAXIMUM ORDER</a:t>
          </a:r>
        </a:p>
      </xdr:txBody>
    </xdr:sp>
    <xdr:clientData/>
  </xdr:twoCellAnchor>
  <xdr:twoCellAnchor editAs="oneCell">
    <xdr:from>
      <xdr:col>0</xdr:col>
      <xdr:colOff>0</xdr:colOff>
      <xdr:row>7</xdr:row>
      <xdr:rowOff>0</xdr:rowOff>
    </xdr:from>
    <xdr:to>
      <xdr:col>7</xdr:col>
      <xdr:colOff>0</xdr:colOff>
      <xdr:row>16</xdr:row>
      <xdr:rowOff>45720</xdr:rowOff>
    </xdr:to>
    <mc:AlternateContent xmlns:mc="http://schemas.openxmlformats.org/markup-compatibility/2006" xmlns:a14="http://schemas.microsoft.com/office/drawing/2010/main">
      <mc:Choice Requires="a14">
        <xdr:graphicFrame macro="">
          <xdr:nvGraphicFramePr>
            <xdr:cNvPr id="5" name="Cuisine 1">
              <a:extLst>
                <a:ext uri="{FF2B5EF4-FFF2-40B4-BE49-F238E27FC236}">
                  <a16:creationId xmlns:a16="http://schemas.microsoft.com/office/drawing/2014/main" id="{CF6E30A7-7FC3-458B-B045-4B867A04451A}"/>
                </a:ext>
              </a:extLst>
            </xdr:cNvPr>
            <xdr:cNvGraphicFramePr/>
          </xdr:nvGraphicFramePr>
          <xdr:xfrm>
            <a:off x="0" y="0"/>
            <a:ext cx="0" cy="0"/>
          </xdr:xfrm>
          <a:graphic>
            <a:graphicData uri="http://schemas.microsoft.com/office/drawing/2010/slicer">
              <sle:slicer xmlns:sle="http://schemas.microsoft.com/office/drawing/2010/slicer" name="Cuisine 1"/>
            </a:graphicData>
          </a:graphic>
        </xdr:graphicFrame>
      </mc:Choice>
      <mc:Fallback xmlns="">
        <xdr:sp macro="" textlink="">
          <xdr:nvSpPr>
            <xdr:cNvPr id="0" name=""/>
            <xdr:cNvSpPr>
              <a:spLocks noTextEdit="1"/>
            </xdr:cNvSpPr>
          </xdr:nvSpPr>
          <xdr:spPr>
            <a:xfrm>
              <a:off x="0" y="1280160"/>
              <a:ext cx="4267200" cy="16916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0</xdr:colOff>
      <xdr:row>7</xdr:row>
      <xdr:rowOff>0</xdr:rowOff>
    </xdr:from>
    <xdr:to>
      <xdr:col>17</xdr:col>
      <xdr:colOff>0</xdr:colOff>
      <xdr:row>16</xdr:row>
      <xdr:rowOff>22860</xdr:rowOff>
    </xdr:to>
    <mc:AlternateContent xmlns:mc="http://schemas.openxmlformats.org/markup-compatibility/2006" xmlns:tsle="http://schemas.microsoft.com/office/drawing/2012/timeslicer">
      <mc:Choice Requires="tsle">
        <xdr:graphicFrame macro="">
          <xdr:nvGraphicFramePr>
            <xdr:cNvPr id="6" name="OrderDate 1">
              <a:extLst>
                <a:ext uri="{FF2B5EF4-FFF2-40B4-BE49-F238E27FC236}">
                  <a16:creationId xmlns:a16="http://schemas.microsoft.com/office/drawing/2014/main" id="{D173F903-34E4-4FE6-B8CD-8495716B5A03}"/>
                </a:ext>
              </a:extLst>
            </xdr:cNvPr>
            <xdr:cNvGraphicFramePr/>
          </xdr:nvGraphicFramePr>
          <xdr:xfrm>
            <a:off x="0" y="0"/>
            <a:ext cx="0" cy="0"/>
          </xdr:xfrm>
          <a:graphic>
            <a:graphicData uri="http://schemas.microsoft.com/office/drawing/2012/timeslicer">
              <tsle:timeslicer name="OrderDate 1"/>
            </a:graphicData>
          </a:graphic>
        </xdr:graphicFrame>
      </mc:Choice>
      <mc:Fallback xmlns="">
        <xdr:sp macro="" textlink="">
          <xdr:nvSpPr>
            <xdr:cNvPr id="0" name=""/>
            <xdr:cNvSpPr>
              <a:spLocks noTextEdit="1"/>
            </xdr:cNvSpPr>
          </xdr:nvSpPr>
          <xdr:spPr>
            <a:xfrm>
              <a:off x="4267200" y="1280160"/>
              <a:ext cx="6096000" cy="166878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0</xdr:colOff>
      <xdr:row>16</xdr:row>
      <xdr:rowOff>45720</xdr:rowOff>
    </xdr:from>
    <xdr:to>
      <xdr:col>17</xdr:col>
      <xdr:colOff>7620</xdr:colOff>
      <xdr:row>33</xdr:row>
      <xdr:rowOff>0</xdr:rowOff>
    </xdr:to>
    <xdr:graphicFrame macro="">
      <xdr:nvGraphicFramePr>
        <xdr:cNvPr id="7" name="Chart 6">
          <a:extLst>
            <a:ext uri="{FF2B5EF4-FFF2-40B4-BE49-F238E27FC236}">
              <a16:creationId xmlns:a16="http://schemas.microsoft.com/office/drawing/2014/main" id="{83FECE61-E122-4014-9D43-43990CAF2D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94.924051388887" createdVersion="7" refreshedVersion="7" minRefreshableVersion="3" recordCount="100" xr:uid="{925CBD27-E6BD-4F4C-8486-6098526F12B9}">
  <cacheSource type="worksheet">
    <worksheetSource name="Table1"/>
  </cacheSource>
  <cacheFields count="10">
    <cacheField name="OrderID" numFmtId="0">
      <sharedItems/>
    </cacheField>
    <cacheField name="OrderDate" numFmtId="15">
      <sharedItems containsSemiMixedTypes="0" containsNonDate="0" containsDate="1" containsString="0" minDate="2026-01-03T00:00:00" maxDate="2026-07-01T00:00:00" count="94">
        <d v="2026-01-03T00:00:00"/>
        <d v="2026-01-05T00:00:00"/>
        <d v="2026-01-08T00:00:00"/>
        <d v="2026-01-11T00:00:00"/>
        <d v="2026-01-14T00:00:00"/>
        <d v="2026-01-17T00:00:00"/>
        <d v="2026-01-20T00:00:00"/>
        <d v="2026-01-23T00:00:00"/>
        <d v="2026-01-26T00:00:00"/>
        <d v="2026-01-29T00:00:00"/>
        <d v="2026-02-02T00:00:00"/>
        <d v="2026-02-05T00:00:00"/>
        <d v="2026-02-08T00:00:00"/>
        <d v="2026-02-11T00:00:00"/>
        <d v="2026-02-14T00:00:00"/>
        <d v="2026-02-17T00:00:00"/>
        <d v="2026-02-20T00:00:00"/>
        <d v="2026-02-23T00:00:00"/>
        <d v="2026-02-26T00:00:00"/>
        <d v="2026-02-28T00:00:00"/>
        <d v="2026-03-03T00:00:00"/>
        <d v="2026-03-06T00:00:00"/>
        <d v="2026-03-09T00:00:00"/>
        <d v="2026-03-12T00:00:00"/>
        <d v="2026-03-15T00:00:00"/>
        <d v="2026-03-18T00:00:00"/>
        <d v="2026-03-21T00:00:00"/>
        <d v="2026-03-24T00:00:00"/>
        <d v="2026-03-27T00:00:00"/>
        <d v="2026-03-30T00:00:00"/>
        <d v="2026-04-02T00:00:00"/>
        <d v="2026-04-05T00:00:00"/>
        <d v="2026-04-08T00:00:00"/>
        <d v="2026-04-11T00:00:00"/>
        <d v="2026-04-14T00:00:00"/>
        <d v="2026-04-17T00:00:00"/>
        <d v="2026-04-20T00:00:00"/>
        <d v="2026-04-23T00:00:00"/>
        <d v="2026-04-26T00:00:00"/>
        <d v="2026-04-29T00:00:00"/>
        <d v="2026-05-02T00:00:00"/>
        <d v="2026-05-05T00:00:00"/>
        <d v="2026-05-08T00:00:00"/>
        <d v="2026-05-11T00:00:00"/>
        <d v="2026-05-14T00:00:00"/>
        <d v="2026-05-17T00:00:00"/>
        <d v="2026-05-20T00:00:00"/>
        <d v="2026-05-23T00:00:00"/>
        <d v="2026-05-26T00:00:00"/>
        <d v="2026-05-29T00:00:00"/>
        <d v="2026-06-02T00:00:00"/>
        <d v="2026-06-05T00:00:00"/>
        <d v="2026-06-08T00:00:00"/>
        <d v="2026-06-11T00:00:00"/>
        <d v="2026-06-14T00:00:00"/>
        <d v="2026-06-17T00:00:00"/>
        <d v="2026-06-20T00:00:00"/>
        <d v="2026-06-23T00:00:00"/>
        <d v="2026-06-26T00:00:00"/>
        <d v="2026-06-29T00:00:00"/>
        <d v="2026-01-07T00:00:00"/>
        <d v="2026-01-12T00:00:00"/>
        <d v="2026-01-18T00:00:00"/>
        <d v="2026-01-24T00:00:00"/>
        <d v="2026-02-03T00:00:00"/>
        <d v="2026-02-09T00:00:00"/>
        <d v="2026-02-15T00:00:00"/>
        <d v="2026-02-21T00:00:00"/>
        <d v="2026-02-27T00:00:00"/>
        <d v="2026-03-04T00:00:00"/>
        <d v="2026-03-10T00:00:00"/>
        <d v="2026-03-16T00:00:00"/>
        <d v="2026-03-22T00:00:00"/>
        <d v="2026-03-28T00:00:00"/>
        <d v="2026-04-04T00:00:00"/>
        <d v="2026-04-10T00:00:00"/>
        <d v="2026-04-16T00:00:00"/>
        <d v="2026-04-22T00:00:00"/>
        <d v="2026-04-28T00:00:00"/>
        <d v="2026-05-04T00:00:00"/>
        <d v="2026-05-10T00:00:00"/>
        <d v="2026-05-16T00:00:00"/>
        <d v="2026-05-22T00:00:00"/>
        <d v="2026-05-28T00:00:00"/>
        <d v="2026-06-04T00:00:00"/>
        <d v="2026-06-10T00:00:00"/>
        <d v="2026-06-16T00:00:00"/>
        <d v="2026-06-22T00:00:00"/>
        <d v="2026-06-28T00:00:00"/>
        <d v="2026-01-06T00:00:00"/>
        <d v="2026-02-13T00:00:00"/>
        <d v="2026-03-19T00:00:00"/>
        <d v="2026-04-25T00:00:00"/>
        <d v="2026-06-30T00:00:00"/>
      </sharedItems>
      <fieldGroup par="8" base="1">
        <rangePr groupBy="months" startDate="2026-01-03T00:00:00" endDate="2026-07-01T00:00:00"/>
        <groupItems count="14">
          <s v="&lt;1/3/2026"/>
          <s v="Jan"/>
          <s v="Feb"/>
          <s v="Mar"/>
          <s v="Apr"/>
          <s v="May"/>
          <s v="Jun"/>
          <s v="Jul"/>
          <s v="Aug"/>
          <s v="Sep"/>
          <s v="Oct"/>
          <s v="Nov"/>
          <s v="Dec"/>
          <s v="&gt;7/1/2026"/>
        </groupItems>
      </fieldGroup>
    </cacheField>
    <cacheField name="Cuisine" numFmtId="0">
      <sharedItems count="5">
        <s v="Indian"/>
        <s v="Chinese"/>
        <s v="Italian"/>
        <s v="Mexican"/>
        <s v="South Indian"/>
      </sharedItems>
    </cacheField>
    <cacheField name="Zone" numFmtId="0">
      <sharedItems count="4">
        <s v="West"/>
        <s v="Central"/>
        <s v="North"/>
        <s v="East"/>
      </sharedItems>
    </cacheField>
    <cacheField name="Revenue (₹)" numFmtId="0">
      <sharedItems containsSemiMixedTypes="0" containsString="0" containsNumber="1" containsInteger="1" minValue="510" maxValue="1580"/>
    </cacheField>
    <cacheField name="DeliveryTime" numFmtId="0">
      <sharedItems containsSemiMixedTypes="0" containsString="0" containsNumber="1" containsInteger="1" minValue="22" maxValue="49"/>
    </cacheField>
    <cacheField name="Status" numFmtId="0">
      <sharedItems count="2">
        <s v="Delivered"/>
        <s v="Delayed"/>
      </sharedItems>
    </cacheField>
    <cacheField name="Orders" numFmtId="0">
      <sharedItems containsSemiMixedTypes="0" containsString="0" containsNumber="1" containsInteger="1" minValue="1" maxValue="1"/>
    </cacheField>
    <cacheField name="Quarters" numFmtId="0" databaseField="0">
      <fieldGroup base="1">
        <rangePr groupBy="quarters" startDate="2026-01-03T00:00:00" endDate="2026-07-01T00:00:00"/>
        <groupItems count="6">
          <s v="&lt;1/3/2026"/>
          <s v="Qtr1"/>
          <s v="Qtr2"/>
          <s v="Qtr3"/>
          <s v="Qtr4"/>
          <s v="&gt;7/1/2026"/>
        </groupItems>
      </fieldGroup>
    </cacheField>
    <cacheField name="AvgRevenuePerOrder" numFmtId="0" formula="'Revenue (₹)'/Orders" databaseField="0"/>
  </cacheFields>
  <extLst>
    <ext xmlns:x14="http://schemas.microsoft.com/office/spreadsheetml/2009/9/main" uri="{725AE2AE-9491-48be-B2B4-4EB974FC3084}">
      <x14:pivotCacheDefinition pivotCacheId="197726909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001"/>
    <x v="0"/>
    <x v="0"/>
    <x v="0"/>
    <n v="850"/>
    <n v="32"/>
    <x v="0"/>
    <n v="1"/>
  </r>
  <r>
    <s v="ORD002"/>
    <x v="1"/>
    <x v="1"/>
    <x v="1"/>
    <n v="620"/>
    <n v="28"/>
    <x v="0"/>
    <n v="1"/>
  </r>
  <r>
    <s v="ORD003"/>
    <x v="2"/>
    <x v="2"/>
    <x v="2"/>
    <n v="1250"/>
    <n v="41"/>
    <x v="0"/>
    <n v="1"/>
  </r>
  <r>
    <s v="ORD004"/>
    <x v="3"/>
    <x v="3"/>
    <x v="3"/>
    <n v="780"/>
    <n v="35"/>
    <x v="0"/>
    <n v="1"/>
  </r>
  <r>
    <s v="ORD005"/>
    <x v="4"/>
    <x v="4"/>
    <x v="0"/>
    <n v="540"/>
    <n v="24"/>
    <x v="0"/>
    <n v="1"/>
  </r>
  <r>
    <s v="ORD006"/>
    <x v="5"/>
    <x v="0"/>
    <x v="1"/>
    <n v="920"/>
    <n v="38"/>
    <x v="0"/>
    <n v="1"/>
  </r>
  <r>
    <s v="ORD007"/>
    <x v="6"/>
    <x v="1"/>
    <x v="3"/>
    <n v="670"/>
    <n v="31"/>
    <x v="0"/>
    <n v="1"/>
  </r>
  <r>
    <s v="ORD008"/>
    <x v="7"/>
    <x v="2"/>
    <x v="0"/>
    <n v="1480"/>
    <n v="45"/>
    <x v="0"/>
    <n v="1"/>
  </r>
  <r>
    <s v="ORD009"/>
    <x v="8"/>
    <x v="3"/>
    <x v="2"/>
    <n v="890"/>
    <n v="36"/>
    <x v="0"/>
    <n v="1"/>
  </r>
  <r>
    <s v="ORD010"/>
    <x v="9"/>
    <x v="4"/>
    <x v="1"/>
    <n v="510"/>
    <n v="22"/>
    <x v="0"/>
    <n v="1"/>
  </r>
  <r>
    <s v="ORD011"/>
    <x v="10"/>
    <x v="0"/>
    <x v="3"/>
    <n v="760"/>
    <n v="29"/>
    <x v="0"/>
    <n v="1"/>
  </r>
  <r>
    <s v="ORD012"/>
    <x v="11"/>
    <x v="1"/>
    <x v="0"/>
    <n v="680"/>
    <n v="33"/>
    <x v="0"/>
    <n v="1"/>
  </r>
  <r>
    <s v="ORD013"/>
    <x v="12"/>
    <x v="2"/>
    <x v="1"/>
    <n v="1320"/>
    <n v="44"/>
    <x v="0"/>
    <n v="1"/>
  </r>
  <r>
    <s v="ORD014"/>
    <x v="13"/>
    <x v="3"/>
    <x v="3"/>
    <n v="940"/>
    <n v="39"/>
    <x v="0"/>
    <n v="1"/>
  </r>
  <r>
    <s v="ORD015"/>
    <x v="14"/>
    <x v="4"/>
    <x v="2"/>
    <n v="590"/>
    <n v="26"/>
    <x v="0"/>
    <n v="1"/>
  </r>
  <r>
    <s v="ORD016"/>
    <x v="15"/>
    <x v="0"/>
    <x v="0"/>
    <n v="1100"/>
    <n v="34"/>
    <x v="0"/>
    <n v="1"/>
  </r>
  <r>
    <s v="ORD017"/>
    <x v="16"/>
    <x v="1"/>
    <x v="1"/>
    <n v="720"/>
    <n v="30"/>
    <x v="0"/>
    <n v="1"/>
  </r>
  <r>
    <s v="ORD018"/>
    <x v="17"/>
    <x v="2"/>
    <x v="3"/>
    <n v="1550"/>
    <n v="48"/>
    <x v="1"/>
    <n v="1"/>
  </r>
  <r>
    <s v="ORD019"/>
    <x v="18"/>
    <x v="3"/>
    <x v="2"/>
    <n v="820"/>
    <n v="37"/>
    <x v="0"/>
    <n v="1"/>
  </r>
  <r>
    <s v="ORD020"/>
    <x v="19"/>
    <x v="4"/>
    <x v="0"/>
    <n v="630"/>
    <n v="25"/>
    <x v="0"/>
    <n v="1"/>
  </r>
  <r>
    <s v="ORD021"/>
    <x v="20"/>
    <x v="0"/>
    <x v="1"/>
    <n v="980"/>
    <n v="35"/>
    <x v="0"/>
    <n v="1"/>
  </r>
  <r>
    <s v="ORD022"/>
    <x v="21"/>
    <x v="1"/>
    <x v="3"/>
    <n v="740"/>
    <n v="32"/>
    <x v="0"/>
    <n v="1"/>
  </r>
  <r>
    <s v="ORD023"/>
    <x v="22"/>
    <x v="2"/>
    <x v="0"/>
    <n v="1380"/>
    <n v="42"/>
    <x v="0"/>
    <n v="1"/>
  </r>
  <r>
    <s v="ORD024"/>
    <x v="23"/>
    <x v="3"/>
    <x v="2"/>
    <n v="860"/>
    <n v="34"/>
    <x v="0"/>
    <n v="1"/>
  </r>
  <r>
    <s v="ORD025"/>
    <x v="24"/>
    <x v="4"/>
    <x v="1"/>
    <n v="560"/>
    <n v="23"/>
    <x v="0"/>
    <n v="1"/>
  </r>
  <r>
    <s v="ORD026"/>
    <x v="25"/>
    <x v="0"/>
    <x v="3"/>
    <n v="1020"/>
    <n v="39"/>
    <x v="0"/>
    <n v="1"/>
  </r>
  <r>
    <s v="ORD027"/>
    <x v="26"/>
    <x v="1"/>
    <x v="0"/>
    <n v="690"/>
    <n v="29"/>
    <x v="0"/>
    <n v="1"/>
  </r>
  <r>
    <s v="ORD028"/>
    <x v="27"/>
    <x v="2"/>
    <x v="1"/>
    <n v="1450"/>
    <n v="46"/>
    <x v="1"/>
    <n v="1"/>
  </r>
  <r>
    <s v="ORD029"/>
    <x v="28"/>
    <x v="3"/>
    <x v="3"/>
    <n v="910"/>
    <n v="38"/>
    <x v="0"/>
    <n v="1"/>
  </r>
  <r>
    <s v="ORD030"/>
    <x v="29"/>
    <x v="4"/>
    <x v="2"/>
    <n v="580"/>
    <n v="27"/>
    <x v="0"/>
    <n v="1"/>
  </r>
  <r>
    <s v="ORD031"/>
    <x v="30"/>
    <x v="0"/>
    <x v="0"/>
    <n v="890"/>
    <n v="31"/>
    <x v="0"/>
    <n v="1"/>
  </r>
  <r>
    <s v="ORD032"/>
    <x v="31"/>
    <x v="1"/>
    <x v="1"/>
    <n v="650"/>
    <n v="28"/>
    <x v="0"/>
    <n v="1"/>
  </r>
  <r>
    <s v="ORD033"/>
    <x v="32"/>
    <x v="2"/>
    <x v="3"/>
    <n v="1520"/>
    <n v="43"/>
    <x v="0"/>
    <n v="1"/>
  </r>
  <r>
    <s v="ORD034"/>
    <x v="33"/>
    <x v="3"/>
    <x v="2"/>
    <n v="830"/>
    <n v="36"/>
    <x v="0"/>
    <n v="1"/>
  </r>
  <r>
    <s v="ORD035"/>
    <x v="34"/>
    <x v="4"/>
    <x v="0"/>
    <n v="610"/>
    <n v="24"/>
    <x v="0"/>
    <n v="1"/>
  </r>
  <r>
    <s v="ORD036"/>
    <x v="35"/>
    <x v="0"/>
    <x v="1"/>
    <n v="1080"/>
    <n v="37"/>
    <x v="0"/>
    <n v="1"/>
  </r>
  <r>
    <s v="ORD037"/>
    <x v="36"/>
    <x v="1"/>
    <x v="3"/>
    <n v="710"/>
    <n v="30"/>
    <x v="0"/>
    <n v="1"/>
  </r>
  <r>
    <s v="ORD038"/>
    <x v="37"/>
    <x v="2"/>
    <x v="0"/>
    <n v="1410"/>
    <n v="47"/>
    <x v="1"/>
    <n v="1"/>
  </r>
  <r>
    <s v="ORD039"/>
    <x v="38"/>
    <x v="3"/>
    <x v="2"/>
    <n v="870"/>
    <n v="35"/>
    <x v="0"/>
    <n v="1"/>
  </r>
  <r>
    <s v="ORD040"/>
    <x v="39"/>
    <x v="4"/>
    <x v="1"/>
    <n v="530"/>
    <n v="22"/>
    <x v="0"/>
    <n v="1"/>
  </r>
  <r>
    <s v="ORD041"/>
    <x v="40"/>
    <x v="0"/>
    <x v="3"/>
    <n v="960"/>
    <n v="33"/>
    <x v="0"/>
    <n v="1"/>
  </r>
  <r>
    <s v="ORD042"/>
    <x v="41"/>
    <x v="1"/>
    <x v="0"/>
    <n v="700"/>
    <n v="31"/>
    <x v="0"/>
    <n v="1"/>
  </r>
  <r>
    <s v="ORD043"/>
    <x v="42"/>
    <x v="2"/>
    <x v="1"/>
    <n v="1360"/>
    <n v="45"/>
    <x v="0"/>
    <n v="1"/>
  </r>
  <r>
    <s v="ORD044"/>
    <x v="43"/>
    <x v="3"/>
    <x v="3"/>
    <n v="920"/>
    <n v="40"/>
    <x v="0"/>
    <n v="1"/>
  </r>
  <r>
    <s v="ORD045"/>
    <x v="44"/>
    <x v="4"/>
    <x v="2"/>
    <n v="570"/>
    <n v="25"/>
    <x v="0"/>
    <n v="1"/>
  </r>
  <r>
    <s v="ORD046"/>
    <x v="45"/>
    <x v="0"/>
    <x v="0"/>
    <n v="1150"/>
    <n v="36"/>
    <x v="0"/>
    <n v="1"/>
  </r>
  <r>
    <s v="ORD047"/>
    <x v="46"/>
    <x v="1"/>
    <x v="1"/>
    <n v="680"/>
    <n v="29"/>
    <x v="0"/>
    <n v="1"/>
  </r>
  <r>
    <s v="ORD048"/>
    <x v="47"/>
    <x v="2"/>
    <x v="3"/>
    <n v="1490"/>
    <n v="49"/>
    <x v="1"/>
    <n v="1"/>
  </r>
  <r>
    <s v="ORD049"/>
    <x v="48"/>
    <x v="3"/>
    <x v="2"/>
    <n v="850"/>
    <n v="34"/>
    <x v="0"/>
    <n v="1"/>
  </r>
  <r>
    <s v="ORD050"/>
    <x v="49"/>
    <x v="4"/>
    <x v="0"/>
    <n v="620"/>
    <n v="26"/>
    <x v="0"/>
    <n v="1"/>
  </r>
  <r>
    <s v="ORD051"/>
    <x v="50"/>
    <x v="0"/>
    <x v="1"/>
    <n v="1040"/>
    <n v="38"/>
    <x v="0"/>
    <n v="1"/>
  </r>
  <r>
    <s v="ORD052"/>
    <x v="51"/>
    <x v="1"/>
    <x v="3"/>
    <n v="730"/>
    <n v="32"/>
    <x v="0"/>
    <n v="1"/>
  </r>
  <r>
    <s v="ORD053"/>
    <x v="52"/>
    <x v="2"/>
    <x v="0"/>
    <n v="1580"/>
    <n v="44"/>
    <x v="0"/>
    <n v="1"/>
  </r>
  <r>
    <s v="ORD054"/>
    <x v="53"/>
    <x v="3"/>
    <x v="2"/>
    <n v="900"/>
    <n v="37"/>
    <x v="0"/>
    <n v="1"/>
  </r>
  <r>
    <s v="ORD055"/>
    <x v="54"/>
    <x v="4"/>
    <x v="1"/>
    <n v="550"/>
    <n v="23"/>
    <x v="0"/>
    <n v="1"/>
  </r>
  <r>
    <s v="ORD056"/>
    <x v="55"/>
    <x v="0"/>
    <x v="3"/>
    <n v="990"/>
    <n v="35"/>
    <x v="0"/>
    <n v="1"/>
  </r>
  <r>
    <s v="ORD057"/>
    <x v="56"/>
    <x v="1"/>
    <x v="0"/>
    <n v="710"/>
    <n v="30"/>
    <x v="0"/>
    <n v="1"/>
  </r>
  <r>
    <s v="ORD058"/>
    <x v="57"/>
    <x v="2"/>
    <x v="1"/>
    <n v="1430"/>
    <n v="46"/>
    <x v="1"/>
    <n v="1"/>
  </r>
  <r>
    <s v="ORD059"/>
    <x v="58"/>
    <x v="3"/>
    <x v="3"/>
    <n v="880"/>
    <n v="39"/>
    <x v="0"/>
    <n v="1"/>
  </r>
  <r>
    <s v="ORD060"/>
    <x v="59"/>
    <x v="4"/>
    <x v="2"/>
    <n v="600"/>
    <n v="27"/>
    <x v="0"/>
    <n v="1"/>
  </r>
  <r>
    <s v="ORD061"/>
    <x v="0"/>
    <x v="0"/>
    <x v="2"/>
    <n v="970"/>
    <n v="33"/>
    <x v="0"/>
    <n v="1"/>
  </r>
  <r>
    <s v="ORD062"/>
    <x v="60"/>
    <x v="1"/>
    <x v="0"/>
    <n v="640"/>
    <n v="29"/>
    <x v="0"/>
    <n v="1"/>
  </r>
  <r>
    <s v="ORD063"/>
    <x v="61"/>
    <x v="2"/>
    <x v="3"/>
    <n v="1290"/>
    <n v="42"/>
    <x v="0"/>
    <n v="1"/>
  </r>
  <r>
    <s v="ORD064"/>
    <x v="62"/>
    <x v="3"/>
    <x v="1"/>
    <n v="810"/>
    <n v="37"/>
    <x v="0"/>
    <n v="1"/>
  </r>
  <r>
    <s v="ORD065"/>
    <x v="63"/>
    <x v="4"/>
    <x v="2"/>
    <n v="560"/>
    <n v="25"/>
    <x v="0"/>
    <n v="1"/>
  </r>
  <r>
    <s v="ORD066"/>
    <x v="64"/>
    <x v="0"/>
    <x v="1"/>
    <n v="890"/>
    <n v="36"/>
    <x v="0"/>
    <n v="1"/>
  </r>
  <r>
    <s v="ORD067"/>
    <x v="65"/>
    <x v="1"/>
    <x v="3"/>
    <n v="750"/>
    <n v="31"/>
    <x v="0"/>
    <n v="1"/>
  </r>
  <r>
    <s v="ORD068"/>
    <x v="66"/>
    <x v="2"/>
    <x v="2"/>
    <n v="1420"/>
    <n v="45"/>
    <x v="0"/>
    <n v="1"/>
  </r>
  <r>
    <s v="ORD069"/>
    <x v="67"/>
    <x v="3"/>
    <x v="0"/>
    <n v="930"/>
    <n v="39"/>
    <x v="0"/>
    <n v="1"/>
  </r>
  <r>
    <s v="ORD070"/>
    <x v="68"/>
    <x v="4"/>
    <x v="1"/>
    <n v="520"/>
    <n v="23"/>
    <x v="0"/>
    <n v="1"/>
  </r>
  <r>
    <s v="ORD071"/>
    <x v="69"/>
    <x v="0"/>
    <x v="0"/>
    <n v="1080"/>
    <n v="35"/>
    <x v="0"/>
    <n v="1"/>
  </r>
  <r>
    <s v="ORD072"/>
    <x v="70"/>
    <x v="1"/>
    <x v="2"/>
    <n v="690"/>
    <n v="30"/>
    <x v="0"/>
    <n v="1"/>
  </r>
  <r>
    <s v="ORD073"/>
    <x v="71"/>
    <x v="2"/>
    <x v="3"/>
    <n v="1510"/>
    <n v="47"/>
    <x v="1"/>
    <n v="1"/>
  </r>
  <r>
    <s v="ORD074"/>
    <x v="72"/>
    <x v="3"/>
    <x v="1"/>
    <n v="840"/>
    <n v="34"/>
    <x v="0"/>
    <n v="1"/>
  </r>
  <r>
    <s v="ORD075"/>
    <x v="73"/>
    <x v="4"/>
    <x v="0"/>
    <n v="610"/>
    <n v="26"/>
    <x v="0"/>
    <n v="1"/>
  </r>
  <r>
    <s v="ORD076"/>
    <x v="74"/>
    <x v="0"/>
    <x v="3"/>
    <n v="1010"/>
    <n v="38"/>
    <x v="0"/>
    <n v="1"/>
  </r>
  <r>
    <s v="ORD077"/>
    <x v="75"/>
    <x v="1"/>
    <x v="1"/>
    <n v="670"/>
    <n v="29"/>
    <x v="0"/>
    <n v="1"/>
  </r>
  <r>
    <s v="ORD078"/>
    <x v="76"/>
    <x v="2"/>
    <x v="0"/>
    <n v="1390"/>
    <n v="43"/>
    <x v="0"/>
    <n v="1"/>
  </r>
  <r>
    <s v="ORD079"/>
    <x v="77"/>
    <x v="3"/>
    <x v="2"/>
    <n v="880"/>
    <n v="36"/>
    <x v="0"/>
    <n v="1"/>
  </r>
  <r>
    <s v="ORD080"/>
    <x v="78"/>
    <x v="4"/>
    <x v="3"/>
    <n v="590"/>
    <n v="24"/>
    <x v="0"/>
    <n v="1"/>
  </r>
  <r>
    <s v="ORD081"/>
    <x v="79"/>
    <x v="0"/>
    <x v="2"/>
    <n v="950"/>
    <n v="34"/>
    <x v="0"/>
    <n v="1"/>
  </r>
  <r>
    <s v="ORD082"/>
    <x v="80"/>
    <x v="1"/>
    <x v="0"/>
    <n v="720"/>
    <n v="32"/>
    <x v="0"/>
    <n v="1"/>
  </r>
  <r>
    <s v="ORD083"/>
    <x v="81"/>
    <x v="2"/>
    <x v="1"/>
    <n v="1470"/>
    <n v="46"/>
    <x v="1"/>
    <n v="1"/>
  </r>
  <r>
    <s v="ORD084"/>
    <x v="82"/>
    <x v="3"/>
    <x v="3"/>
    <n v="910"/>
    <n v="38"/>
    <x v="0"/>
    <n v="1"/>
  </r>
  <r>
    <s v="ORD085"/>
    <x v="83"/>
    <x v="4"/>
    <x v="2"/>
    <n v="580"/>
    <n v="25"/>
    <x v="0"/>
    <n v="1"/>
  </r>
  <r>
    <s v="ORD086"/>
    <x v="84"/>
    <x v="0"/>
    <x v="0"/>
    <n v="1120"/>
    <n v="37"/>
    <x v="0"/>
    <n v="1"/>
  </r>
  <r>
    <s v="ORD087"/>
    <x v="85"/>
    <x v="1"/>
    <x v="1"/>
    <n v="660"/>
    <n v="28"/>
    <x v="0"/>
    <n v="1"/>
  </r>
  <r>
    <s v="ORD088"/>
    <x v="86"/>
    <x v="2"/>
    <x v="3"/>
    <n v="1540"/>
    <n v="48"/>
    <x v="1"/>
    <n v="1"/>
  </r>
  <r>
    <s v="ORD089"/>
    <x v="87"/>
    <x v="3"/>
    <x v="2"/>
    <n v="870"/>
    <n v="35"/>
    <x v="0"/>
    <n v="1"/>
  </r>
  <r>
    <s v="ORD090"/>
    <x v="88"/>
    <x v="4"/>
    <x v="0"/>
    <n v="640"/>
    <n v="27"/>
    <x v="0"/>
    <n v="1"/>
  </r>
  <r>
    <s v="ORD091"/>
    <x v="89"/>
    <x v="0"/>
    <x v="3"/>
    <n v="830"/>
    <n v="30"/>
    <x v="0"/>
    <n v="1"/>
  </r>
  <r>
    <s v="ORD092"/>
    <x v="90"/>
    <x v="1"/>
    <x v="2"/>
    <n v="710"/>
    <n v="32"/>
    <x v="0"/>
    <n v="1"/>
  </r>
  <r>
    <s v="ORD093"/>
    <x v="91"/>
    <x v="2"/>
    <x v="1"/>
    <n v="1350"/>
    <n v="44"/>
    <x v="0"/>
    <n v="1"/>
  </r>
  <r>
    <s v="ORD094"/>
    <x v="92"/>
    <x v="3"/>
    <x v="0"/>
    <n v="950"/>
    <n v="41"/>
    <x v="0"/>
    <n v="1"/>
  </r>
  <r>
    <s v="ORD095"/>
    <x v="40"/>
    <x v="4"/>
    <x v="3"/>
    <n v="570"/>
    <n v="24"/>
    <x v="0"/>
    <n v="1"/>
  </r>
  <r>
    <s v="ORD096"/>
    <x v="52"/>
    <x v="0"/>
    <x v="2"/>
    <n v="1030"/>
    <n v="36"/>
    <x v="0"/>
    <n v="1"/>
  </r>
  <r>
    <s v="ORD097"/>
    <x v="54"/>
    <x v="1"/>
    <x v="3"/>
    <n v="690"/>
    <n v="30"/>
    <x v="0"/>
    <n v="1"/>
  </r>
  <r>
    <s v="ORD098"/>
    <x v="56"/>
    <x v="2"/>
    <x v="0"/>
    <n v="1460"/>
    <n v="45"/>
    <x v="0"/>
    <n v="1"/>
  </r>
  <r>
    <s v="ORD099"/>
    <x v="58"/>
    <x v="3"/>
    <x v="1"/>
    <n v="860"/>
    <n v="37"/>
    <x v="0"/>
    <n v="1"/>
  </r>
  <r>
    <s v="ORD100"/>
    <x v="93"/>
    <x v="4"/>
    <x v="2"/>
    <n v="620"/>
    <n v="26"/>
    <x v="0"/>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91CBA21-541D-432D-9392-4E00738BF493}" name="PivotTable3"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11">
  <location ref="A13:F20" firstHeaderRow="1" firstDataRow="2" firstDataCol="1"/>
  <pivotFields count="10">
    <pivotField showAll="0"/>
    <pivotField numFmtId="15" showAll="0">
      <items count="15">
        <item x="0"/>
        <item x="1"/>
        <item x="2"/>
        <item x="3"/>
        <item x="4"/>
        <item x="5"/>
        <item x="6"/>
        <item x="7"/>
        <item x="8"/>
        <item x="9"/>
        <item x="10"/>
        <item x="11"/>
        <item x="12"/>
        <item x="13"/>
        <item t="default"/>
      </items>
    </pivotField>
    <pivotField axis="axisRow" showAll="0">
      <items count="6">
        <item x="1"/>
        <item x="0"/>
        <item x="2"/>
        <item x="3"/>
        <item x="4"/>
        <item t="default"/>
      </items>
    </pivotField>
    <pivotField axis="axisCol" showAll="0">
      <items count="5">
        <item x="1"/>
        <item x="3"/>
        <item x="2"/>
        <item x="0"/>
        <item t="default"/>
      </items>
    </pivotField>
    <pivotField dataField="1" showAll="0"/>
    <pivotField showAll="0"/>
    <pivotField showAll="0"/>
    <pivotField showAll="0"/>
    <pivotField showAll="0" defaultSubtotal="0"/>
    <pivotField dragToRow="0" dragToCol="0" dragToPage="0" showAll="0" defaultSubtotal="0"/>
  </pivotFields>
  <rowFields count="1">
    <field x="2"/>
  </rowFields>
  <rowItems count="6">
    <i>
      <x/>
    </i>
    <i>
      <x v="1"/>
    </i>
    <i>
      <x v="2"/>
    </i>
    <i>
      <x v="3"/>
    </i>
    <i>
      <x v="4"/>
    </i>
    <i t="grand">
      <x/>
    </i>
  </rowItems>
  <colFields count="1">
    <field x="3"/>
  </colFields>
  <colItems count="5">
    <i>
      <x/>
    </i>
    <i>
      <x v="1"/>
    </i>
    <i>
      <x v="2"/>
    </i>
    <i>
      <x v="3"/>
    </i>
    <i t="grand">
      <x/>
    </i>
  </colItems>
  <dataFields count="1">
    <dataField name="Sum of Revenue (₹)" fld="4" baseField="0" baseItem="0"/>
  </dataFields>
  <chartFormats count="18">
    <chartFormat chart="3" format="0" series="1">
      <pivotArea type="data" outline="0" fieldPosition="0">
        <references count="2">
          <reference field="4294967294" count="1" selected="0">
            <x v="0"/>
          </reference>
          <reference field="3" count="1" selected="0">
            <x v="0"/>
          </reference>
        </references>
      </pivotArea>
    </chartFormat>
    <chartFormat chart="3" format="1" series="1">
      <pivotArea type="data" outline="0" fieldPosition="0">
        <references count="2">
          <reference field="4294967294" count="1" selected="0">
            <x v="0"/>
          </reference>
          <reference field="3" count="1" selected="0">
            <x v="1"/>
          </reference>
        </references>
      </pivotArea>
    </chartFormat>
    <chartFormat chart="3" format="2" series="1">
      <pivotArea type="data" outline="0" fieldPosition="0">
        <references count="2">
          <reference field="4294967294" count="1" selected="0">
            <x v="0"/>
          </reference>
          <reference field="3" count="1" selected="0">
            <x v="2"/>
          </reference>
        </references>
      </pivotArea>
    </chartFormat>
    <chartFormat chart="3" format="3" series="1">
      <pivotArea type="data" outline="0" fieldPosition="0">
        <references count="2">
          <reference field="4294967294" count="1" selected="0">
            <x v="0"/>
          </reference>
          <reference field="3" count="1" selected="0">
            <x v="3"/>
          </reference>
        </references>
      </pivotArea>
    </chartFormat>
    <chartFormat chart="8" format="4" series="1">
      <pivotArea type="data" outline="0" fieldPosition="0">
        <references count="2">
          <reference field="4294967294" count="1" selected="0">
            <x v="0"/>
          </reference>
          <reference field="3" count="1" selected="0">
            <x v="0"/>
          </reference>
        </references>
      </pivotArea>
    </chartFormat>
    <chartFormat chart="8" format="5" series="1">
      <pivotArea type="data" outline="0" fieldPosition="0">
        <references count="2">
          <reference field="4294967294" count="1" selected="0">
            <x v="0"/>
          </reference>
          <reference field="3" count="1" selected="0">
            <x v="1"/>
          </reference>
        </references>
      </pivotArea>
    </chartFormat>
    <chartFormat chart="8" format="6" series="1">
      <pivotArea type="data" outline="0" fieldPosition="0">
        <references count="2">
          <reference field="4294967294" count="1" selected="0">
            <x v="0"/>
          </reference>
          <reference field="3" count="1" selected="0">
            <x v="2"/>
          </reference>
        </references>
      </pivotArea>
    </chartFormat>
    <chartFormat chart="8" format="7" series="1">
      <pivotArea type="data" outline="0" fieldPosition="0">
        <references count="2">
          <reference field="4294967294" count="1" selected="0">
            <x v="0"/>
          </reference>
          <reference field="3" count="1" selected="0">
            <x v="3"/>
          </reference>
        </references>
      </pivotArea>
    </chartFormat>
    <chartFormat chart="9" format="8" series="1">
      <pivotArea type="data" outline="0" fieldPosition="0">
        <references count="2">
          <reference field="4294967294" count="1" selected="0">
            <x v="0"/>
          </reference>
          <reference field="3" count="1" selected="0">
            <x v="0"/>
          </reference>
        </references>
      </pivotArea>
    </chartFormat>
    <chartFormat chart="9" format="9" series="1">
      <pivotArea type="data" outline="0" fieldPosition="0">
        <references count="2">
          <reference field="4294967294" count="1" selected="0">
            <x v="0"/>
          </reference>
          <reference field="3" count="1" selected="0">
            <x v="1"/>
          </reference>
        </references>
      </pivotArea>
    </chartFormat>
    <chartFormat chart="9" format="10" series="1">
      <pivotArea type="data" outline="0" fieldPosition="0">
        <references count="2">
          <reference field="4294967294" count="1" selected="0">
            <x v="0"/>
          </reference>
          <reference field="3" count="1" selected="0">
            <x v="2"/>
          </reference>
        </references>
      </pivotArea>
    </chartFormat>
    <chartFormat chart="9" format="11" series="1">
      <pivotArea type="data" outline="0" fieldPosition="0">
        <references count="2">
          <reference field="4294967294" count="1" selected="0">
            <x v="0"/>
          </reference>
          <reference field="3" count="1" selected="0">
            <x v="3"/>
          </reference>
        </references>
      </pivotArea>
    </chartFormat>
    <chartFormat chart="10" format="8" series="1">
      <pivotArea type="data" outline="0" fieldPosition="0">
        <references count="2">
          <reference field="4294967294" count="1" selected="0">
            <x v="0"/>
          </reference>
          <reference field="3" count="1" selected="0">
            <x v="0"/>
          </reference>
        </references>
      </pivotArea>
    </chartFormat>
    <chartFormat chart="10" format="9" series="1">
      <pivotArea type="data" outline="0" fieldPosition="0">
        <references count="2">
          <reference field="4294967294" count="1" selected="0">
            <x v="0"/>
          </reference>
          <reference field="3" count="1" selected="0">
            <x v="1"/>
          </reference>
        </references>
      </pivotArea>
    </chartFormat>
    <chartFormat chart="10" format="10" series="1">
      <pivotArea type="data" outline="0" fieldPosition="0">
        <references count="2">
          <reference field="4294967294" count="1" selected="0">
            <x v="0"/>
          </reference>
          <reference field="3" count="1" selected="0">
            <x v="2"/>
          </reference>
        </references>
      </pivotArea>
    </chartFormat>
    <chartFormat chart="10" format="11" series="1">
      <pivotArea type="data" outline="0" fieldPosition="0">
        <references count="2">
          <reference field="4294967294" count="1" selected="0">
            <x v="0"/>
          </reference>
          <reference field="3" count="1" selected="0">
            <x v="3"/>
          </reference>
        </references>
      </pivotArea>
    </chartFormat>
    <chartFormat chart="10" format="12"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73CD193-9E22-46C3-AAF2-95FC21D78ED2}"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chartFormat="3">
  <location ref="A3:K11" firstHeaderRow="1" firstDataRow="3" firstDataCol="1" rowPageCount="1" colPageCount="1"/>
  <pivotFields count="10">
    <pivotField showAll="0"/>
    <pivotField numFmtId="15" showAll="0">
      <items count="15">
        <item x="0"/>
        <item x="1"/>
        <item x="2"/>
        <item x="3"/>
        <item x="4"/>
        <item x="5"/>
        <item x="6"/>
        <item x="7"/>
        <item x="8"/>
        <item x="9"/>
        <item x="10"/>
        <item x="11"/>
        <item x="12"/>
        <item x="13"/>
        <item t="default"/>
      </items>
    </pivotField>
    <pivotField axis="axisRow" showAll="0">
      <items count="6">
        <item x="1"/>
        <item x="0"/>
        <item x="2"/>
        <item x="3"/>
        <item x="4"/>
        <item t="default"/>
      </items>
    </pivotField>
    <pivotField axis="axisCol" showAll="0">
      <items count="5">
        <item x="1"/>
        <item x="3"/>
        <item x="2"/>
        <item x="0"/>
        <item t="default"/>
      </items>
    </pivotField>
    <pivotField dataField="1" showAll="0"/>
    <pivotField showAll="0"/>
    <pivotField axis="axisPage" multipleItemSelectionAllowed="1" showAll="0">
      <items count="3">
        <item x="1"/>
        <item x="0"/>
        <item t="default"/>
      </items>
    </pivotField>
    <pivotField showAll="0"/>
    <pivotField showAll="0">
      <items count="7">
        <item x="0"/>
        <item x="1"/>
        <item x="2"/>
        <item x="3"/>
        <item x="4"/>
        <item x="5"/>
        <item t="default"/>
      </items>
    </pivotField>
    <pivotField dataField="1" dragToRow="0" dragToCol="0" dragToPage="0" showAll="0" defaultSubtotal="0"/>
  </pivotFields>
  <rowFields count="1">
    <field x="2"/>
  </rowFields>
  <rowItems count="6">
    <i>
      <x/>
    </i>
    <i>
      <x v="1"/>
    </i>
    <i>
      <x v="2"/>
    </i>
    <i>
      <x v="3"/>
    </i>
    <i>
      <x v="4"/>
    </i>
    <i t="grand">
      <x/>
    </i>
  </rowItems>
  <colFields count="2">
    <field x="3"/>
    <field x="-2"/>
  </colFields>
  <colItems count="10">
    <i>
      <x/>
      <x/>
    </i>
    <i r="1" i="1">
      <x v="1"/>
    </i>
    <i>
      <x v="1"/>
      <x/>
    </i>
    <i r="1" i="1">
      <x v="1"/>
    </i>
    <i>
      <x v="2"/>
      <x/>
    </i>
    <i r="1" i="1">
      <x v="1"/>
    </i>
    <i>
      <x v="3"/>
      <x/>
    </i>
    <i r="1" i="1">
      <x v="1"/>
    </i>
    <i t="grand">
      <x/>
    </i>
    <i t="grand" i="1">
      <x/>
    </i>
  </colItems>
  <pageFields count="1">
    <pageField fld="6" hier="-1"/>
  </pageFields>
  <dataFields count="2">
    <dataField name="Sum of Revenue (₹)" fld="4" baseField="0" baseItem="0"/>
    <dataField name="Sum of AvgRevenuePerOrder"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E4A2F5F-BF48-4385-B68D-74874DB507D2}" name="PivotTable2"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A3:B6" firstHeaderRow="1" firstDataRow="1" firstDataCol="1"/>
  <pivotFields count="10">
    <pivotField dataField="1" showAll="0"/>
    <pivotField axis="axisRow" numFmtId="15" showAll="0">
      <items count="15">
        <item x="0"/>
        <item x="1"/>
        <item x="2"/>
        <item x="3"/>
        <item x="4"/>
        <item x="5"/>
        <item x="6"/>
        <item x="7"/>
        <item x="8"/>
        <item x="9"/>
        <item x="10"/>
        <item x="11"/>
        <item x="12"/>
        <item x="13"/>
        <item t="default"/>
      </items>
    </pivotField>
    <pivotField showAll="0">
      <items count="6">
        <item x="1"/>
        <item x="0"/>
        <item x="2"/>
        <item x="3"/>
        <item x="4"/>
        <item t="default"/>
      </items>
    </pivotField>
    <pivotField showAll="0"/>
    <pivotField showAll="0"/>
    <pivotField showAll="0"/>
    <pivotField showAll="0"/>
    <pivotField showAll="0"/>
    <pivotField axis="axisRow" showAll="0">
      <items count="7">
        <item x="0"/>
        <item sd="0" x="1"/>
        <item sd="0" x="2"/>
        <item x="3"/>
        <item x="4"/>
        <item x="5"/>
        <item t="default"/>
      </items>
    </pivotField>
    <pivotField dragToRow="0" dragToCol="0" dragToPage="0" showAll="0" defaultSubtotal="0"/>
  </pivotFields>
  <rowFields count="2">
    <field x="8"/>
    <field x="1"/>
  </rowFields>
  <rowItems count="3">
    <i>
      <x v="1"/>
    </i>
    <i>
      <x v="2"/>
    </i>
    <i t="grand">
      <x/>
    </i>
  </rowItems>
  <colItems count="1">
    <i/>
  </colItems>
  <dataFields count="1">
    <dataField name="Count of Order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isine" xr10:uid="{89EDAC2D-C0CF-4DE2-A0EE-C1E23D37EDAC}" sourceName="Cuisine">
  <pivotTables>
    <pivotTable tabId="2" name="PivotTable3"/>
    <pivotTable tabId="3" name="PivotTable2"/>
    <pivotTable tabId="2" name="PivotTable1"/>
  </pivotTables>
  <data>
    <tabular pivotCacheId="1977269091">
      <items count="5">
        <i x="1" s="1"/>
        <i x="0"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xr10:uid="{EB772DD8-F2D5-4353-8C57-4ABC102FB5A7}" cache="Slicer_Cuisine" caption="Cuisin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isine 1" xr10:uid="{5DAFE4FC-2916-409D-88AF-6446FDF8B748}" cache="Slicer_Cuisine" caption="Cuisine"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EB646CF-7DA6-4BB1-AEC8-23CDECD749CA}" name="Table1" displayName="Table1" ref="A1:H101" totalsRowShown="0" headerRowDxfId="9" dataDxfId="8">
  <autoFilter ref="A1:H101" xr:uid="{DEB646CF-7DA6-4BB1-AEC8-23CDECD749CA}"/>
  <tableColumns count="8">
    <tableColumn id="1" xr3:uid="{A52FB2CD-A6B4-4122-9BC1-F31EF4834378}" name="OrderID" dataDxfId="7"/>
    <tableColumn id="2" xr3:uid="{E691D8B5-6704-4670-B3D0-6A8ACE03F80C}" name="OrderDate" dataDxfId="6"/>
    <tableColumn id="3" xr3:uid="{27CFBE19-CC18-48BE-A3CC-4F2E0386DAA8}" name="Cuisine" dataDxfId="5"/>
    <tableColumn id="4" xr3:uid="{1A569985-494D-4D04-8A3C-A3A001CD50FF}" name="Zone" dataDxfId="4"/>
    <tableColumn id="5" xr3:uid="{E48949C0-4C46-4C3E-8384-82095BD5087D}" name="Revenue (₹)" dataDxfId="3"/>
    <tableColumn id="6" xr3:uid="{DDBF0C8D-BB9E-4B88-9673-F69314340BAA}" name="DeliveryTime" dataDxfId="2"/>
    <tableColumn id="7" xr3:uid="{70EE14F9-94BD-40A1-B4ED-044695F637FD}" name="Status" dataDxfId="1"/>
    <tableColumn id="8" xr3:uid="{D139BA7A-819E-4CD3-B416-96FBC096F636}" name="Order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Date" xr10:uid="{66E025E9-9FE3-4BE3-9531-3465CFD15DD3}" sourceName="OrderDate">
  <pivotTables>
    <pivotTable tabId="3" name="PivotTable2"/>
    <pivotTable tabId="2" name="PivotTable1"/>
    <pivotTable tabId="2" name="PivotTable3"/>
  </pivotTables>
  <state minimalRefreshVersion="6" lastRefreshVersion="6" pivotCacheId="197726909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xr10:uid="{E2FC22B4-0FDF-4DCF-873E-8FCC27F41E33}" cache="NativeTimeline_OrderDate" caption="OrderDate" level="2" selectionLevel="2" scrollPosition="2026-0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Date 1" xr10:uid="{FADF45A8-2BAB-453F-A68B-9C072E0784EA}" cache="NativeTimeline_OrderDate" caption="OrderDate" level="2" selectionLevel="2" scrollPosition="2026-01-01T00:00:00" style="TimeSlicerStyleDark1"/>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11/relationships/timeline" Target="../timelines/timeline2.xml"/><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35CBB5-3006-42E1-A550-1D14670D21C2}">
  <dimension ref="A1:H101"/>
  <sheetViews>
    <sheetView topLeftCell="A73" workbookViewId="0">
      <selection activeCell="E10" sqref="A2:H101"/>
    </sheetView>
  </sheetViews>
  <sheetFormatPr defaultRowHeight="14.4" x14ac:dyDescent="0.3"/>
  <cols>
    <col min="1" max="1" width="12" bestFit="1" customWidth="1"/>
    <col min="2" max="2" width="14.109375" bestFit="1" customWidth="1"/>
    <col min="3" max="3" width="11.44140625" bestFit="1" customWidth="1"/>
    <col min="4" max="4" width="9.6640625" bestFit="1" customWidth="1"/>
    <col min="5" max="5" width="15.5546875" bestFit="1" customWidth="1"/>
    <col min="6" max="6" width="16.33203125" bestFit="1" customWidth="1"/>
    <col min="7" max="7" width="10.6640625" bestFit="1" customWidth="1"/>
    <col min="8" max="8" width="11" bestFit="1" customWidth="1"/>
  </cols>
  <sheetData>
    <row r="1" spans="1:8" x14ac:dyDescent="0.3">
      <c r="A1" s="1" t="s">
        <v>0</v>
      </c>
      <c r="B1" s="1" t="s">
        <v>1</v>
      </c>
      <c r="C1" s="1" t="s">
        <v>2</v>
      </c>
      <c r="D1" s="1" t="s">
        <v>3</v>
      </c>
      <c r="E1" s="1" t="s">
        <v>4</v>
      </c>
      <c r="F1" s="1" t="s">
        <v>5</v>
      </c>
      <c r="G1" s="1" t="s">
        <v>6</v>
      </c>
      <c r="H1" s="1" t="s">
        <v>7</v>
      </c>
    </row>
    <row r="2" spans="1:8" x14ac:dyDescent="0.3">
      <c r="A2" s="2" t="s">
        <v>8</v>
      </c>
      <c r="B2" s="3">
        <v>46025</v>
      </c>
      <c r="C2" s="2" t="s">
        <v>9</v>
      </c>
      <c r="D2" s="2" t="s">
        <v>10</v>
      </c>
      <c r="E2" s="2">
        <v>850</v>
      </c>
      <c r="F2" s="2">
        <v>32</v>
      </c>
      <c r="G2" s="2" t="s">
        <v>11</v>
      </c>
      <c r="H2" s="2">
        <v>1</v>
      </c>
    </row>
    <row r="3" spans="1:8" x14ac:dyDescent="0.3">
      <c r="A3" s="2" t="s">
        <v>12</v>
      </c>
      <c r="B3" s="3">
        <v>46027</v>
      </c>
      <c r="C3" s="2" t="s">
        <v>13</v>
      </c>
      <c r="D3" s="2" t="s">
        <v>14</v>
      </c>
      <c r="E3" s="2">
        <v>620</v>
      </c>
      <c r="F3" s="2">
        <v>28</v>
      </c>
      <c r="G3" s="2" t="s">
        <v>11</v>
      </c>
      <c r="H3" s="2">
        <v>1</v>
      </c>
    </row>
    <row r="4" spans="1:8" x14ac:dyDescent="0.3">
      <c r="A4" s="2" t="s">
        <v>15</v>
      </c>
      <c r="B4" s="3">
        <v>46030</v>
      </c>
      <c r="C4" s="2" t="s">
        <v>16</v>
      </c>
      <c r="D4" s="2" t="s">
        <v>17</v>
      </c>
      <c r="E4" s="2">
        <v>1250</v>
      </c>
      <c r="F4" s="2">
        <v>41</v>
      </c>
      <c r="G4" s="2" t="s">
        <v>11</v>
      </c>
      <c r="H4" s="2">
        <v>1</v>
      </c>
    </row>
    <row r="5" spans="1:8" x14ac:dyDescent="0.3">
      <c r="A5" s="2" t="s">
        <v>18</v>
      </c>
      <c r="B5" s="3">
        <v>46033</v>
      </c>
      <c r="C5" s="2" t="s">
        <v>19</v>
      </c>
      <c r="D5" s="2" t="s">
        <v>20</v>
      </c>
      <c r="E5" s="2">
        <v>780</v>
      </c>
      <c r="F5" s="2">
        <v>35</v>
      </c>
      <c r="G5" s="2" t="s">
        <v>11</v>
      </c>
      <c r="H5" s="2">
        <v>1</v>
      </c>
    </row>
    <row r="6" spans="1:8" x14ac:dyDescent="0.3">
      <c r="A6" s="2" t="s">
        <v>21</v>
      </c>
      <c r="B6" s="3">
        <v>46036</v>
      </c>
      <c r="C6" s="2" t="s">
        <v>22</v>
      </c>
      <c r="D6" s="2" t="s">
        <v>10</v>
      </c>
      <c r="E6" s="2">
        <v>540</v>
      </c>
      <c r="F6" s="2">
        <v>24</v>
      </c>
      <c r="G6" s="2" t="s">
        <v>11</v>
      </c>
      <c r="H6" s="2">
        <v>1</v>
      </c>
    </row>
    <row r="7" spans="1:8" x14ac:dyDescent="0.3">
      <c r="A7" s="2" t="s">
        <v>23</v>
      </c>
      <c r="B7" s="3">
        <v>46039</v>
      </c>
      <c r="C7" s="2" t="s">
        <v>9</v>
      </c>
      <c r="D7" s="2" t="s">
        <v>14</v>
      </c>
      <c r="E7" s="2">
        <v>920</v>
      </c>
      <c r="F7" s="2">
        <v>38</v>
      </c>
      <c r="G7" s="2" t="s">
        <v>11</v>
      </c>
      <c r="H7" s="2">
        <v>1</v>
      </c>
    </row>
    <row r="8" spans="1:8" x14ac:dyDescent="0.3">
      <c r="A8" s="2" t="s">
        <v>24</v>
      </c>
      <c r="B8" s="3">
        <v>46042</v>
      </c>
      <c r="C8" s="2" t="s">
        <v>13</v>
      </c>
      <c r="D8" s="2" t="s">
        <v>20</v>
      </c>
      <c r="E8" s="2">
        <v>670</v>
      </c>
      <c r="F8" s="2">
        <v>31</v>
      </c>
      <c r="G8" s="2" t="s">
        <v>11</v>
      </c>
      <c r="H8" s="2">
        <v>1</v>
      </c>
    </row>
    <row r="9" spans="1:8" x14ac:dyDescent="0.3">
      <c r="A9" s="2" t="s">
        <v>25</v>
      </c>
      <c r="B9" s="3">
        <v>46045</v>
      </c>
      <c r="C9" s="2" t="s">
        <v>16</v>
      </c>
      <c r="D9" s="2" t="s">
        <v>10</v>
      </c>
      <c r="E9" s="2">
        <v>1480</v>
      </c>
      <c r="F9" s="2">
        <v>45</v>
      </c>
      <c r="G9" s="2" t="s">
        <v>11</v>
      </c>
      <c r="H9" s="2">
        <v>1</v>
      </c>
    </row>
    <row r="10" spans="1:8" x14ac:dyDescent="0.3">
      <c r="A10" s="2" t="s">
        <v>26</v>
      </c>
      <c r="B10" s="3">
        <v>46048</v>
      </c>
      <c r="C10" s="2" t="s">
        <v>19</v>
      </c>
      <c r="D10" s="2" t="s">
        <v>17</v>
      </c>
      <c r="E10" s="2">
        <v>890</v>
      </c>
      <c r="F10" s="2">
        <v>36</v>
      </c>
      <c r="G10" s="2" t="s">
        <v>11</v>
      </c>
      <c r="H10" s="2">
        <v>1</v>
      </c>
    </row>
    <row r="11" spans="1:8" x14ac:dyDescent="0.3">
      <c r="A11" s="2" t="s">
        <v>27</v>
      </c>
      <c r="B11" s="3">
        <v>46051</v>
      </c>
      <c r="C11" s="2" t="s">
        <v>22</v>
      </c>
      <c r="D11" s="2" t="s">
        <v>14</v>
      </c>
      <c r="E11" s="2">
        <v>510</v>
      </c>
      <c r="F11" s="2">
        <v>22</v>
      </c>
      <c r="G11" s="2" t="s">
        <v>11</v>
      </c>
      <c r="H11" s="2">
        <v>1</v>
      </c>
    </row>
    <row r="12" spans="1:8" x14ac:dyDescent="0.3">
      <c r="A12" s="2" t="s">
        <v>28</v>
      </c>
      <c r="B12" s="3">
        <v>46055</v>
      </c>
      <c r="C12" s="2" t="s">
        <v>9</v>
      </c>
      <c r="D12" s="2" t="s">
        <v>20</v>
      </c>
      <c r="E12" s="2">
        <v>760</v>
      </c>
      <c r="F12" s="2">
        <v>29</v>
      </c>
      <c r="G12" s="2" t="s">
        <v>11</v>
      </c>
      <c r="H12" s="2">
        <v>1</v>
      </c>
    </row>
    <row r="13" spans="1:8" x14ac:dyDescent="0.3">
      <c r="A13" s="2" t="s">
        <v>29</v>
      </c>
      <c r="B13" s="3">
        <v>46058</v>
      </c>
      <c r="C13" s="2" t="s">
        <v>13</v>
      </c>
      <c r="D13" s="2" t="s">
        <v>10</v>
      </c>
      <c r="E13" s="2">
        <v>680</v>
      </c>
      <c r="F13" s="2">
        <v>33</v>
      </c>
      <c r="G13" s="2" t="s">
        <v>11</v>
      </c>
      <c r="H13" s="2">
        <v>1</v>
      </c>
    </row>
    <row r="14" spans="1:8" x14ac:dyDescent="0.3">
      <c r="A14" s="2" t="s">
        <v>30</v>
      </c>
      <c r="B14" s="3">
        <v>46061</v>
      </c>
      <c r="C14" s="2" t="s">
        <v>16</v>
      </c>
      <c r="D14" s="2" t="s">
        <v>14</v>
      </c>
      <c r="E14" s="2">
        <v>1320</v>
      </c>
      <c r="F14" s="2">
        <v>44</v>
      </c>
      <c r="G14" s="2" t="s">
        <v>11</v>
      </c>
      <c r="H14" s="2">
        <v>1</v>
      </c>
    </row>
    <row r="15" spans="1:8" x14ac:dyDescent="0.3">
      <c r="A15" s="2" t="s">
        <v>31</v>
      </c>
      <c r="B15" s="3">
        <v>46064</v>
      </c>
      <c r="C15" s="2" t="s">
        <v>19</v>
      </c>
      <c r="D15" s="2" t="s">
        <v>20</v>
      </c>
      <c r="E15" s="2">
        <v>940</v>
      </c>
      <c r="F15" s="2">
        <v>39</v>
      </c>
      <c r="G15" s="2" t="s">
        <v>11</v>
      </c>
      <c r="H15" s="2">
        <v>1</v>
      </c>
    </row>
    <row r="16" spans="1:8" x14ac:dyDescent="0.3">
      <c r="A16" s="2" t="s">
        <v>32</v>
      </c>
      <c r="B16" s="3">
        <v>46067</v>
      </c>
      <c r="C16" s="2" t="s">
        <v>22</v>
      </c>
      <c r="D16" s="2" t="s">
        <v>17</v>
      </c>
      <c r="E16" s="2">
        <v>590</v>
      </c>
      <c r="F16" s="2">
        <v>26</v>
      </c>
      <c r="G16" s="2" t="s">
        <v>11</v>
      </c>
      <c r="H16" s="2">
        <v>1</v>
      </c>
    </row>
    <row r="17" spans="1:8" x14ac:dyDescent="0.3">
      <c r="A17" s="2" t="s">
        <v>33</v>
      </c>
      <c r="B17" s="3">
        <v>46070</v>
      </c>
      <c r="C17" s="2" t="s">
        <v>9</v>
      </c>
      <c r="D17" s="2" t="s">
        <v>10</v>
      </c>
      <c r="E17" s="2">
        <v>1100</v>
      </c>
      <c r="F17" s="2">
        <v>34</v>
      </c>
      <c r="G17" s="2" t="s">
        <v>11</v>
      </c>
      <c r="H17" s="2">
        <v>1</v>
      </c>
    </row>
    <row r="18" spans="1:8" x14ac:dyDescent="0.3">
      <c r="A18" s="2" t="s">
        <v>34</v>
      </c>
      <c r="B18" s="3">
        <v>46073</v>
      </c>
      <c r="C18" s="2" t="s">
        <v>13</v>
      </c>
      <c r="D18" s="2" t="s">
        <v>14</v>
      </c>
      <c r="E18" s="2">
        <v>720</v>
      </c>
      <c r="F18" s="2">
        <v>30</v>
      </c>
      <c r="G18" s="2" t="s">
        <v>11</v>
      </c>
      <c r="H18" s="2">
        <v>1</v>
      </c>
    </row>
    <row r="19" spans="1:8" x14ac:dyDescent="0.3">
      <c r="A19" s="2" t="s">
        <v>35</v>
      </c>
      <c r="B19" s="3">
        <v>46076</v>
      </c>
      <c r="C19" s="2" t="s">
        <v>16</v>
      </c>
      <c r="D19" s="2" t="s">
        <v>20</v>
      </c>
      <c r="E19" s="2">
        <v>1550</v>
      </c>
      <c r="F19" s="2">
        <v>48</v>
      </c>
      <c r="G19" s="2" t="s">
        <v>36</v>
      </c>
      <c r="H19" s="2">
        <v>1</v>
      </c>
    </row>
    <row r="20" spans="1:8" x14ac:dyDescent="0.3">
      <c r="A20" s="2" t="s">
        <v>37</v>
      </c>
      <c r="B20" s="3">
        <v>46079</v>
      </c>
      <c r="C20" s="2" t="s">
        <v>19</v>
      </c>
      <c r="D20" s="2" t="s">
        <v>17</v>
      </c>
      <c r="E20" s="2">
        <v>820</v>
      </c>
      <c r="F20" s="2">
        <v>37</v>
      </c>
      <c r="G20" s="2" t="s">
        <v>11</v>
      </c>
      <c r="H20" s="2">
        <v>1</v>
      </c>
    </row>
    <row r="21" spans="1:8" x14ac:dyDescent="0.3">
      <c r="A21" s="2" t="s">
        <v>38</v>
      </c>
      <c r="B21" s="3">
        <v>46081</v>
      </c>
      <c r="C21" s="2" t="s">
        <v>22</v>
      </c>
      <c r="D21" s="2" t="s">
        <v>10</v>
      </c>
      <c r="E21" s="2">
        <v>630</v>
      </c>
      <c r="F21" s="2">
        <v>25</v>
      </c>
      <c r="G21" s="2" t="s">
        <v>11</v>
      </c>
      <c r="H21" s="2">
        <v>1</v>
      </c>
    </row>
    <row r="22" spans="1:8" x14ac:dyDescent="0.3">
      <c r="A22" s="2" t="s">
        <v>39</v>
      </c>
      <c r="B22" s="3">
        <v>46084</v>
      </c>
      <c r="C22" s="2" t="s">
        <v>9</v>
      </c>
      <c r="D22" s="2" t="s">
        <v>14</v>
      </c>
      <c r="E22" s="2">
        <v>980</v>
      </c>
      <c r="F22" s="2">
        <v>35</v>
      </c>
      <c r="G22" s="2" t="s">
        <v>11</v>
      </c>
      <c r="H22" s="2">
        <v>1</v>
      </c>
    </row>
    <row r="23" spans="1:8" x14ac:dyDescent="0.3">
      <c r="A23" s="2" t="s">
        <v>40</v>
      </c>
      <c r="B23" s="3">
        <v>46087</v>
      </c>
      <c r="C23" s="2" t="s">
        <v>13</v>
      </c>
      <c r="D23" s="2" t="s">
        <v>20</v>
      </c>
      <c r="E23" s="2">
        <v>740</v>
      </c>
      <c r="F23" s="2">
        <v>32</v>
      </c>
      <c r="G23" s="2" t="s">
        <v>11</v>
      </c>
      <c r="H23" s="2">
        <v>1</v>
      </c>
    </row>
    <row r="24" spans="1:8" x14ac:dyDescent="0.3">
      <c r="A24" s="2" t="s">
        <v>41</v>
      </c>
      <c r="B24" s="3">
        <v>46090</v>
      </c>
      <c r="C24" s="2" t="s">
        <v>16</v>
      </c>
      <c r="D24" s="2" t="s">
        <v>10</v>
      </c>
      <c r="E24" s="2">
        <v>1380</v>
      </c>
      <c r="F24" s="2">
        <v>42</v>
      </c>
      <c r="G24" s="2" t="s">
        <v>11</v>
      </c>
      <c r="H24" s="2">
        <v>1</v>
      </c>
    </row>
    <row r="25" spans="1:8" x14ac:dyDescent="0.3">
      <c r="A25" s="2" t="s">
        <v>42</v>
      </c>
      <c r="B25" s="3">
        <v>46093</v>
      </c>
      <c r="C25" s="2" t="s">
        <v>19</v>
      </c>
      <c r="D25" s="2" t="s">
        <v>17</v>
      </c>
      <c r="E25" s="2">
        <v>860</v>
      </c>
      <c r="F25" s="2">
        <v>34</v>
      </c>
      <c r="G25" s="2" t="s">
        <v>11</v>
      </c>
      <c r="H25" s="2">
        <v>1</v>
      </c>
    </row>
    <row r="26" spans="1:8" x14ac:dyDescent="0.3">
      <c r="A26" s="2" t="s">
        <v>43</v>
      </c>
      <c r="B26" s="3">
        <v>46096</v>
      </c>
      <c r="C26" s="2" t="s">
        <v>22</v>
      </c>
      <c r="D26" s="2" t="s">
        <v>14</v>
      </c>
      <c r="E26" s="2">
        <v>560</v>
      </c>
      <c r="F26" s="2">
        <v>23</v>
      </c>
      <c r="G26" s="2" t="s">
        <v>11</v>
      </c>
      <c r="H26" s="2">
        <v>1</v>
      </c>
    </row>
    <row r="27" spans="1:8" x14ac:dyDescent="0.3">
      <c r="A27" s="2" t="s">
        <v>44</v>
      </c>
      <c r="B27" s="3">
        <v>46099</v>
      </c>
      <c r="C27" s="2" t="s">
        <v>9</v>
      </c>
      <c r="D27" s="2" t="s">
        <v>20</v>
      </c>
      <c r="E27" s="2">
        <v>1020</v>
      </c>
      <c r="F27" s="2">
        <v>39</v>
      </c>
      <c r="G27" s="2" t="s">
        <v>11</v>
      </c>
      <c r="H27" s="2">
        <v>1</v>
      </c>
    </row>
    <row r="28" spans="1:8" x14ac:dyDescent="0.3">
      <c r="A28" s="2" t="s">
        <v>45</v>
      </c>
      <c r="B28" s="3">
        <v>46102</v>
      </c>
      <c r="C28" s="2" t="s">
        <v>13</v>
      </c>
      <c r="D28" s="2" t="s">
        <v>10</v>
      </c>
      <c r="E28" s="2">
        <v>690</v>
      </c>
      <c r="F28" s="2">
        <v>29</v>
      </c>
      <c r="G28" s="2" t="s">
        <v>11</v>
      </c>
      <c r="H28" s="2">
        <v>1</v>
      </c>
    </row>
    <row r="29" spans="1:8" x14ac:dyDescent="0.3">
      <c r="A29" s="2" t="s">
        <v>46</v>
      </c>
      <c r="B29" s="3">
        <v>46105</v>
      </c>
      <c r="C29" s="2" t="s">
        <v>16</v>
      </c>
      <c r="D29" s="2" t="s">
        <v>14</v>
      </c>
      <c r="E29" s="2">
        <v>1450</v>
      </c>
      <c r="F29" s="2">
        <v>46</v>
      </c>
      <c r="G29" s="2" t="s">
        <v>36</v>
      </c>
      <c r="H29" s="2">
        <v>1</v>
      </c>
    </row>
    <row r="30" spans="1:8" x14ac:dyDescent="0.3">
      <c r="A30" s="2" t="s">
        <v>47</v>
      </c>
      <c r="B30" s="3">
        <v>46108</v>
      </c>
      <c r="C30" s="2" t="s">
        <v>19</v>
      </c>
      <c r="D30" s="2" t="s">
        <v>20</v>
      </c>
      <c r="E30" s="2">
        <v>910</v>
      </c>
      <c r="F30" s="2">
        <v>38</v>
      </c>
      <c r="G30" s="2" t="s">
        <v>11</v>
      </c>
      <c r="H30" s="2">
        <v>1</v>
      </c>
    </row>
    <row r="31" spans="1:8" x14ac:dyDescent="0.3">
      <c r="A31" s="2" t="s">
        <v>48</v>
      </c>
      <c r="B31" s="3">
        <v>46111</v>
      </c>
      <c r="C31" s="2" t="s">
        <v>22</v>
      </c>
      <c r="D31" s="2" t="s">
        <v>17</v>
      </c>
      <c r="E31" s="2">
        <v>580</v>
      </c>
      <c r="F31" s="2">
        <v>27</v>
      </c>
      <c r="G31" s="2" t="s">
        <v>11</v>
      </c>
      <c r="H31" s="2">
        <v>1</v>
      </c>
    </row>
    <row r="32" spans="1:8" x14ac:dyDescent="0.3">
      <c r="A32" s="2" t="s">
        <v>49</v>
      </c>
      <c r="B32" s="3">
        <v>46114</v>
      </c>
      <c r="C32" s="2" t="s">
        <v>9</v>
      </c>
      <c r="D32" s="2" t="s">
        <v>10</v>
      </c>
      <c r="E32" s="2">
        <v>890</v>
      </c>
      <c r="F32" s="2">
        <v>31</v>
      </c>
      <c r="G32" s="2" t="s">
        <v>11</v>
      </c>
      <c r="H32" s="2">
        <v>1</v>
      </c>
    </row>
    <row r="33" spans="1:8" x14ac:dyDescent="0.3">
      <c r="A33" s="2" t="s">
        <v>50</v>
      </c>
      <c r="B33" s="3">
        <v>46117</v>
      </c>
      <c r="C33" s="2" t="s">
        <v>13</v>
      </c>
      <c r="D33" s="2" t="s">
        <v>14</v>
      </c>
      <c r="E33" s="2">
        <v>650</v>
      </c>
      <c r="F33" s="2">
        <v>28</v>
      </c>
      <c r="G33" s="2" t="s">
        <v>11</v>
      </c>
      <c r="H33" s="2">
        <v>1</v>
      </c>
    </row>
    <row r="34" spans="1:8" x14ac:dyDescent="0.3">
      <c r="A34" s="2" t="s">
        <v>51</v>
      </c>
      <c r="B34" s="3">
        <v>46120</v>
      </c>
      <c r="C34" s="2" t="s">
        <v>16</v>
      </c>
      <c r="D34" s="2" t="s">
        <v>20</v>
      </c>
      <c r="E34" s="2">
        <v>1520</v>
      </c>
      <c r="F34" s="2">
        <v>43</v>
      </c>
      <c r="G34" s="2" t="s">
        <v>11</v>
      </c>
      <c r="H34" s="2">
        <v>1</v>
      </c>
    </row>
    <row r="35" spans="1:8" x14ac:dyDescent="0.3">
      <c r="A35" s="2" t="s">
        <v>52</v>
      </c>
      <c r="B35" s="3">
        <v>46123</v>
      </c>
      <c r="C35" s="2" t="s">
        <v>19</v>
      </c>
      <c r="D35" s="2" t="s">
        <v>17</v>
      </c>
      <c r="E35" s="2">
        <v>830</v>
      </c>
      <c r="F35" s="2">
        <v>36</v>
      </c>
      <c r="G35" s="2" t="s">
        <v>11</v>
      </c>
      <c r="H35" s="2">
        <v>1</v>
      </c>
    </row>
    <row r="36" spans="1:8" x14ac:dyDescent="0.3">
      <c r="A36" s="2" t="s">
        <v>53</v>
      </c>
      <c r="B36" s="3">
        <v>46126</v>
      </c>
      <c r="C36" s="2" t="s">
        <v>22</v>
      </c>
      <c r="D36" s="2" t="s">
        <v>10</v>
      </c>
      <c r="E36" s="2">
        <v>610</v>
      </c>
      <c r="F36" s="2">
        <v>24</v>
      </c>
      <c r="G36" s="2" t="s">
        <v>11</v>
      </c>
      <c r="H36" s="2">
        <v>1</v>
      </c>
    </row>
    <row r="37" spans="1:8" x14ac:dyDescent="0.3">
      <c r="A37" s="2" t="s">
        <v>54</v>
      </c>
      <c r="B37" s="3">
        <v>46129</v>
      </c>
      <c r="C37" s="2" t="s">
        <v>9</v>
      </c>
      <c r="D37" s="2" t="s">
        <v>14</v>
      </c>
      <c r="E37" s="2">
        <v>1080</v>
      </c>
      <c r="F37" s="2">
        <v>37</v>
      </c>
      <c r="G37" s="2" t="s">
        <v>11</v>
      </c>
      <c r="H37" s="2">
        <v>1</v>
      </c>
    </row>
    <row r="38" spans="1:8" x14ac:dyDescent="0.3">
      <c r="A38" s="2" t="s">
        <v>55</v>
      </c>
      <c r="B38" s="3">
        <v>46132</v>
      </c>
      <c r="C38" s="2" t="s">
        <v>13</v>
      </c>
      <c r="D38" s="2" t="s">
        <v>20</v>
      </c>
      <c r="E38" s="2">
        <v>710</v>
      </c>
      <c r="F38" s="2">
        <v>30</v>
      </c>
      <c r="G38" s="2" t="s">
        <v>11</v>
      </c>
      <c r="H38" s="2">
        <v>1</v>
      </c>
    </row>
    <row r="39" spans="1:8" x14ac:dyDescent="0.3">
      <c r="A39" s="2" t="s">
        <v>56</v>
      </c>
      <c r="B39" s="3">
        <v>46135</v>
      </c>
      <c r="C39" s="2" t="s">
        <v>16</v>
      </c>
      <c r="D39" s="2" t="s">
        <v>10</v>
      </c>
      <c r="E39" s="2">
        <v>1410</v>
      </c>
      <c r="F39" s="2">
        <v>47</v>
      </c>
      <c r="G39" s="2" t="s">
        <v>36</v>
      </c>
      <c r="H39" s="2">
        <v>1</v>
      </c>
    </row>
    <row r="40" spans="1:8" x14ac:dyDescent="0.3">
      <c r="A40" s="2" t="s">
        <v>57</v>
      </c>
      <c r="B40" s="3">
        <v>46138</v>
      </c>
      <c r="C40" s="2" t="s">
        <v>19</v>
      </c>
      <c r="D40" s="2" t="s">
        <v>17</v>
      </c>
      <c r="E40" s="2">
        <v>870</v>
      </c>
      <c r="F40" s="2">
        <v>35</v>
      </c>
      <c r="G40" s="2" t="s">
        <v>11</v>
      </c>
      <c r="H40" s="2">
        <v>1</v>
      </c>
    </row>
    <row r="41" spans="1:8" x14ac:dyDescent="0.3">
      <c r="A41" s="2" t="s">
        <v>58</v>
      </c>
      <c r="B41" s="3">
        <v>46141</v>
      </c>
      <c r="C41" s="2" t="s">
        <v>22</v>
      </c>
      <c r="D41" s="2" t="s">
        <v>14</v>
      </c>
      <c r="E41" s="2">
        <v>530</v>
      </c>
      <c r="F41" s="2">
        <v>22</v>
      </c>
      <c r="G41" s="2" t="s">
        <v>11</v>
      </c>
      <c r="H41" s="2">
        <v>1</v>
      </c>
    </row>
    <row r="42" spans="1:8" x14ac:dyDescent="0.3">
      <c r="A42" s="2" t="s">
        <v>59</v>
      </c>
      <c r="B42" s="3">
        <v>46144</v>
      </c>
      <c r="C42" s="2" t="s">
        <v>9</v>
      </c>
      <c r="D42" s="2" t="s">
        <v>20</v>
      </c>
      <c r="E42" s="2">
        <v>960</v>
      </c>
      <c r="F42" s="2">
        <v>33</v>
      </c>
      <c r="G42" s="2" t="s">
        <v>11</v>
      </c>
      <c r="H42" s="2">
        <v>1</v>
      </c>
    </row>
    <row r="43" spans="1:8" x14ac:dyDescent="0.3">
      <c r="A43" s="2" t="s">
        <v>60</v>
      </c>
      <c r="B43" s="3">
        <v>46147</v>
      </c>
      <c r="C43" s="2" t="s">
        <v>13</v>
      </c>
      <c r="D43" s="2" t="s">
        <v>10</v>
      </c>
      <c r="E43" s="2">
        <v>700</v>
      </c>
      <c r="F43" s="2">
        <v>31</v>
      </c>
      <c r="G43" s="2" t="s">
        <v>11</v>
      </c>
      <c r="H43" s="2">
        <v>1</v>
      </c>
    </row>
    <row r="44" spans="1:8" x14ac:dyDescent="0.3">
      <c r="A44" s="2" t="s">
        <v>61</v>
      </c>
      <c r="B44" s="3">
        <v>46150</v>
      </c>
      <c r="C44" s="2" t="s">
        <v>16</v>
      </c>
      <c r="D44" s="2" t="s">
        <v>14</v>
      </c>
      <c r="E44" s="2">
        <v>1360</v>
      </c>
      <c r="F44" s="2">
        <v>45</v>
      </c>
      <c r="G44" s="2" t="s">
        <v>11</v>
      </c>
      <c r="H44" s="2">
        <v>1</v>
      </c>
    </row>
    <row r="45" spans="1:8" x14ac:dyDescent="0.3">
      <c r="A45" s="2" t="s">
        <v>62</v>
      </c>
      <c r="B45" s="3">
        <v>46153</v>
      </c>
      <c r="C45" s="2" t="s">
        <v>19</v>
      </c>
      <c r="D45" s="2" t="s">
        <v>20</v>
      </c>
      <c r="E45" s="2">
        <v>920</v>
      </c>
      <c r="F45" s="2">
        <v>40</v>
      </c>
      <c r="G45" s="2" t="s">
        <v>11</v>
      </c>
      <c r="H45" s="2">
        <v>1</v>
      </c>
    </row>
    <row r="46" spans="1:8" x14ac:dyDescent="0.3">
      <c r="A46" s="2" t="s">
        <v>63</v>
      </c>
      <c r="B46" s="3">
        <v>46156</v>
      </c>
      <c r="C46" s="2" t="s">
        <v>22</v>
      </c>
      <c r="D46" s="2" t="s">
        <v>17</v>
      </c>
      <c r="E46" s="2">
        <v>570</v>
      </c>
      <c r="F46" s="2">
        <v>25</v>
      </c>
      <c r="G46" s="2" t="s">
        <v>11</v>
      </c>
      <c r="H46" s="2">
        <v>1</v>
      </c>
    </row>
    <row r="47" spans="1:8" x14ac:dyDescent="0.3">
      <c r="A47" s="2" t="s">
        <v>64</v>
      </c>
      <c r="B47" s="3">
        <v>46159</v>
      </c>
      <c r="C47" s="2" t="s">
        <v>9</v>
      </c>
      <c r="D47" s="2" t="s">
        <v>10</v>
      </c>
      <c r="E47" s="2">
        <v>1150</v>
      </c>
      <c r="F47" s="2">
        <v>36</v>
      </c>
      <c r="G47" s="2" t="s">
        <v>11</v>
      </c>
      <c r="H47" s="2">
        <v>1</v>
      </c>
    </row>
    <row r="48" spans="1:8" x14ac:dyDescent="0.3">
      <c r="A48" s="2" t="s">
        <v>65</v>
      </c>
      <c r="B48" s="3">
        <v>46162</v>
      </c>
      <c r="C48" s="2" t="s">
        <v>13</v>
      </c>
      <c r="D48" s="2" t="s">
        <v>14</v>
      </c>
      <c r="E48" s="2">
        <v>680</v>
      </c>
      <c r="F48" s="2">
        <v>29</v>
      </c>
      <c r="G48" s="2" t="s">
        <v>11</v>
      </c>
      <c r="H48" s="2">
        <v>1</v>
      </c>
    </row>
    <row r="49" spans="1:8" x14ac:dyDescent="0.3">
      <c r="A49" s="2" t="s">
        <v>66</v>
      </c>
      <c r="B49" s="3">
        <v>46165</v>
      </c>
      <c r="C49" s="2" t="s">
        <v>16</v>
      </c>
      <c r="D49" s="2" t="s">
        <v>20</v>
      </c>
      <c r="E49" s="2">
        <v>1490</v>
      </c>
      <c r="F49" s="2">
        <v>49</v>
      </c>
      <c r="G49" s="2" t="s">
        <v>36</v>
      </c>
      <c r="H49" s="2">
        <v>1</v>
      </c>
    </row>
    <row r="50" spans="1:8" x14ac:dyDescent="0.3">
      <c r="A50" s="2" t="s">
        <v>67</v>
      </c>
      <c r="B50" s="3">
        <v>46168</v>
      </c>
      <c r="C50" s="2" t="s">
        <v>19</v>
      </c>
      <c r="D50" s="2" t="s">
        <v>17</v>
      </c>
      <c r="E50" s="2">
        <v>850</v>
      </c>
      <c r="F50" s="2">
        <v>34</v>
      </c>
      <c r="G50" s="2" t="s">
        <v>11</v>
      </c>
      <c r="H50" s="2">
        <v>1</v>
      </c>
    </row>
    <row r="51" spans="1:8" x14ac:dyDescent="0.3">
      <c r="A51" s="2" t="s">
        <v>68</v>
      </c>
      <c r="B51" s="3">
        <v>46171</v>
      </c>
      <c r="C51" s="2" t="s">
        <v>22</v>
      </c>
      <c r="D51" s="2" t="s">
        <v>10</v>
      </c>
      <c r="E51" s="2">
        <v>620</v>
      </c>
      <c r="F51" s="2">
        <v>26</v>
      </c>
      <c r="G51" s="2" t="s">
        <v>11</v>
      </c>
      <c r="H51" s="2">
        <v>1</v>
      </c>
    </row>
    <row r="52" spans="1:8" x14ac:dyDescent="0.3">
      <c r="A52" s="2" t="s">
        <v>69</v>
      </c>
      <c r="B52" s="3">
        <v>46175</v>
      </c>
      <c r="C52" s="2" t="s">
        <v>9</v>
      </c>
      <c r="D52" s="2" t="s">
        <v>14</v>
      </c>
      <c r="E52" s="2">
        <v>1040</v>
      </c>
      <c r="F52" s="2">
        <v>38</v>
      </c>
      <c r="G52" s="2" t="s">
        <v>11</v>
      </c>
      <c r="H52" s="2">
        <v>1</v>
      </c>
    </row>
    <row r="53" spans="1:8" x14ac:dyDescent="0.3">
      <c r="A53" s="2" t="s">
        <v>70</v>
      </c>
      <c r="B53" s="3">
        <v>46178</v>
      </c>
      <c r="C53" s="2" t="s">
        <v>13</v>
      </c>
      <c r="D53" s="2" t="s">
        <v>20</v>
      </c>
      <c r="E53" s="2">
        <v>730</v>
      </c>
      <c r="F53" s="2">
        <v>32</v>
      </c>
      <c r="G53" s="2" t="s">
        <v>11</v>
      </c>
      <c r="H53" s="2">
        <v>1</v>
      </c>
    </row>
    <row r="54" spans="1:8" x14ac:dyDescent="0.3">
      <c r="A54" s="2" t="s">
        <v>71</v>
      </c>
      <c r="B54" s="3">
        <v>46181</v>
      </c>
      <c r="C54" s="2" t="s">
        <v>16</v>
      </c>
      <c r="D54" s="2" t="s">
        <v>10</v>
      </c>
      <c r="E54" s="2">
        <v>1580</v>
      </c>
      <c r="F54" s="2">
        <v>44</v>
      </c>
      <c r="G54" s="2" t="s">
        <v>11</v>
      </c>
      <c r="H54" s="2">
        <v>1</v>
      </c>
    </row>
    <row r="55" spans="1:8" x14ac:dyDescent="0.3">
      <c r="A55" s="2" t="s">
        <v>72</v>
      </c>
      <c r="B55" s="3">
        <v>46184</v>
      </c>
      <c r="C55" s="2" t="s">
        <v>19</v>
      </c>
      <c r="D55" s="2" t="s">
        <v>17</v>
      </c>
      <c r="E55" s="2">
        <v>900</v>
      </c>
      <c r="F55" s="2">
        <v>37</v>
      </c>
      <c r="G55" s="2" t="s">
        <v>11</v>
      </c>
      <c r="H55" s="2">
        <v>1</v>
      </c>
    </row>
    <row r="56" spans="1:8" x14ac:dyDescent="0.3">
      <c r="A56" s="2" t="s">
        <v>73</v>
      </c>
      <c r="B56" s="3">
        <v>46187</v>
      </c>
      <c r="C56" s="2" t="s">
        <v>22</v>
      </c>
      <c r="D56" s="2" t="s">
        <v>14</v>
      </c>
      <c r="E56" s="2">
        <v>550</v>
      </c>
      <c r="F56" s="2">
        <v>23</v>
      </c>
      <c r="G56" s="2" t="s">
        <v>11</v>
      </c>
      <c r="H56" s="2">
        <v>1</v>
      </c>
    </row>
    <row r="57" spans="1:8" x14ac:dyDescent="0.3">
      <c r="A57" s="2" t="s">
        <v>74</v>
      </c>
      <c r="B57" s="3">
        <v>46190</v>
      </c>
      <c r="C57" s="2" t="s">
        <v>9</v>
      </c>
      <c r="D57" s="2" t="s">
        <v>20</v>
      </c>
      <c r="E57" s="2">
        <v>990</v>
      </c>
      <c r="F57" s="2">
        <v>35</v>
      </c>
      <c r="G57" s="2" t="s">
        <v>11</v>
      </c>
      <c r="H57" s="2">
        <v>1</v>
      </c>
    </row>
    <row r="58" spans="1:8" x14ac:dyDescent="0.3">
      <c r="A58" s="2" t="s">
        <v>75</v>
      </c>
      <c r="B58" s="3">
        <v>46193</v>
      </c>
      <c r="C58" s="2" t="s">
        <v>13</v>
      </c>
      <c r="D58" s="2" t="s">
        <v>10</v>
      </c>
      <c r="E58" s="2">
        <v>710</v>
      </c>
      <c r="F58" s="2">
        <v>30</v>
      </c>
      <c r="G58" s="2" t="s">
        <v>11</v>
      </c>
      <c r="H58" s="2">
        <v>1</v>
      </c>
    </row>
    <row r="59" spans="1:8" x14ac:dyDescent="0.3">
      <c r="A59" s="2" t="s">
        <v>76</v>
      </c>
      <c r="B59" s="3">
        <v>46196</v>
      </c>
      <c r="C59" s="2" t="s">
        <v>16</v>
      </c>
      <c r="D59" s="2" t="s">
        <v>14</v>
      </c>
      <c r="E59" s="2">
        <v>1430</v>
      </c>
      <c r="F59" s="2">
        <v>46</v>
      </c>
      <c r="G59" s="2" t="s">
        <v>36</v>
      </c>
      <c r="H59" s="2">
        <v>1</v>
      </c>
    </row>
    <row r="60" spans="1:8" x14ac:dyDescent="0.3">
      <c r="A60" s="2" t="s">
        <v>77</v>
      </c>
      <c r="B60" s="3">
        <v>46199</v>
      </c>
      <c r="C60" s="2" t="s">
        <v>19</v>
      </c>
      <c r="D60" s="2" t="s">
        <v>20</v>
      </c>
      <c r="E60" s="2">
        <v>880</v>
      </c>
      <c r="F60" s="2">
        <v>39</v>
      </c>
      <c r="G60" s="2" t="s">
        <v>11</v>
      </c>
      <c r="H60" s="2">
        <v>1</v>
      </c>
    </row>
    <row r="61" spans="1:8" x14ac:dyDescent="0.3">
      <c r="A61" s="2" t="s">
        <v>78</v>
      </c>
      <c r="B61" s="3">
        <v>46202</v>
      </c>
      <c r="C61" s="2" t="s">
        <v>22</v>
      </c>
      <c r="D61" s="2" t="s">
        <v>17</v>
      </c>
      <c r="E61" s="2">
        <v>600</v>
      </c>
      <c r="F61" s="2">
        <v>27</v>
      </c>
      <c r="G61" s="2" t="s">
        <v>11</v>
      </c>
      <c r="H61" s="2">
        <v>1</v>
      </c>
    </row>
    <row r="62" spans="1:8" x14ac:dyDescent="0.3">
      <c r="A62" s="2" t="s">
        <v>79</v>
      </c>
      <c r="B62" s="3">
        <v>46025</v>
      </c>
      <c r="C62" s="2" t="s">
        <v>9</v>
      </c>
      <c r="D62" s="2" t="s">
        <v>17</v>
      </c>
      <c r="E62" s="2">
        <v>970</v>
      </c>
      <c r="F62" s="2">
        <v>33</v>
      </c>
      <c r="G62" s="2" t="s">
        <v>11</v>
      </c>
      <c r="H62" s="2">
        <v>1</v>
      </c>
    </row>
    <row r="63" spans="1:8" x14ac:dyDescent="0.3">
      <c r="A63" s="2" t="s">
        <v>80</v>
      </c>
      <c r="B63" s="3">
        <v>46029</v>
      </c>
      <c r="C63" s="2" t="s">
        <v>13</v>
      </c>
      <c r="D63" s="2" t="s">
        <v>10</v>
      </c>
      <c r="E63" s="2">
        <v>640</v>
      </c>
      <c r="F63" s="2">
        <v>29</v>
      </c>
      <c r="G63" s="2" t="s">
        <v>11</v>
      </c>
      <c r="H63" s="2">
        <v>1</v>
      </c>
    </row>
    <row r="64" spans="1:8" x14ac:dyDescent="0.3">
      <c r="A64" s="2" t="s">
        <v>81</v>
      </c>
      <c r="B64" s="3">
        <v>46034</v>
      </c>
      <c r="C64" s="2" t="s">
        <v>16</v>
      </c>
      <c r="D64" s="2" t="s">
        <v>20</v>
      </c>
      <c r="E64" s="2">
        <v>1290</v>
      </c>
      <c r="F64" s="2">
        <v>42</v>
      </c>
      <c r="G64" s="2" t="s">
        <v>11</v>
      </c>
      <c r="H64" s="2">
        <v>1</v>
      </c>
    </row>
    <row r="65" spans="1:8" x14ac:dyDescent="0.3">
      <c r="A65" s="2" t="s">
        <v>82</v>
      </c>
      <c r="B65" s="3">
        <v>46040</v>
      </c>
      <c r="C65" s="2" t="s">
        <v>19</v>
      </c>
      <c r="D65" s="2" t="s">
        <v>14</v>
      </c>
      <c r="E65" s="2">
        <v>810</v>
      </c>
      <c r="F65" s="2">
        <v>37</v>
      </c>
      <c r="G65" s="2" t="s">
        <v>11</v>
      </c>
      <c r="H65" s="2">
        <v>1</v>
      </c>
    </row>
    <row r="66" spans="1:8" x14ac:dyDescent="0.3">
      <c r="A66" s="2" t="s">
        <v>83</v>
      </c>
      <c r="B66" s="3">
        <v>46046</v>
      </c>
      <c r="C66" s="2" t="s">
        <v>22</v>
      </c>
      <c r="D66" s="2" t="s">
        <v>17</v>
      </c>
      <c r="E66" s="2">
        <v>560</v>
      </c>
      <c r="F66" s="2">
        <v>25</v>
      </c>
      <c r="G66" s="2" t="s">
        <v>11</v>
      </c>
      <c r="H66" s="2">
        <v>1</v>
      </c>
    </row>
    <row r="67" spans="1:8" x14ac:dyDescent="0.3">
      <c r="A67" s="2" t="s">
        <v>84</v>
      </c>
      <c r="B67" s="3">
        <v>46056</v>
      </c>
      <c r="C67" s="2" t="s">
        <v>9</v>
      </c>
      <c r="D67" s="2" t="s">
        <v>14</v>
      </c>
      <c r="E67" s="2">
        <v>890</v>
      </c>
      <c r="F67" s="2">
        <v>36</v>
      </c>
      <c r="G67" s="2" t="s">
        <v>11</v>
      </c>
      <c r="H67" s="2">
        <v>1</v>
      </c>
    </row>
    <row r="68" spans="1:8" x14ac:dyDescent="0.3">
      <c r="A68" s="2" t="s">
        <v>85</v>
      </c>
      <c r="B68" s="3">
        <v>46062</v>
      </c>
      <c r="C68" s="2" t="s">
        <v>13</v>
      </c>
      <c r="D68" s="2" t="s">
        <v>20</v>
      </c>
      <c r="E68" s="2">
        <v>750</v>
      </c>
      <c r="F68" s="2">
        <v>31</v>
      </c>
      <c r="G68" s="2" t="s">
        <v>11</v>
      </c>
      <c r="H68" s="2">
        <v>1</v>
      </c>
    </row>
    <row r="69" spans="1:8" x14ac:dyDescent="0.3">
      <c r="A69" s="2" t="s">
        <v>86</v>
      </c>
      <c r="B69" s="3">
        <v>46068</v>
      </c>
      <c r="C69" s="2" t="s">
        <v>16</v>
      </c>
      <c r="D69" s="2" t="s">
        <v>17</v>
      </c>
      <c r="E69" s="2">
        <v>1420</v>
      </c>
      <c r="F69" s="2">
        <v>45</v>
      </c>
      <c r="G69" s="2" t="s">
        <v>11</v>
      </c>
      <c r="H69" s="2">
        <v>1</v>
      </c>
    </row>
    <row r="70" spans="1:8" x14ac:dyDescent="0.3">
      <c r="A70" s="2" t="s">
        <v>87</v>
      </c>
      <c r="B70" s="3">
        <v>46074</v>
      </c>
      <c r="C70" s="2" t="s">
        <v>19</v>
      </c>
      <c r="D70" s="2" t="s">
        <v>10</v>
      </c>
      <c r="E70" s="2">
        <v>930</v>
      </c>
      <c r="F70" s="2">
        <v>39</v>
      </c>
      <c r="G70" s="2" t="s">
        <v>11</v>
      </c>
      <c r="H70" s="2">
        <v>1</v>
      </c>
    </row>
    <row r="71" spans="1:8" x14ac:dyDescent="0.3">
      <c r="A71" s="2" t="s">
        <v>88</v>
      </c>
      <c r="B71" s="3">
        <v>46080</v>
      </c>
      <c r="C71" s="2" t="s">
        <v>22</v>
      </c>
      <c r="D71" s="2" t="s">
        <v>14</v>
      </c>
      <c r="E71" s="2">
        <v>520</v>
      </c>
      <c r="F71" s="2">
        <v>23</v>
      </c>
      <c r="G71" s="2" t="s">
        <v>11</v>
      </c>
      <c r="H71" s="2">
        <v>1</v>
      </c>
    </row>
    <row r="72" spans="1:8" x14ac:dyDescent="0.3">
      <c r="A72" s="2" t="s">
        <v>89</v>
      </c>
      <c r="B72" s="3">
        <v>46085</v>
      </c>
      <c r="C72" s="2" t="s">
        <v>9</v>
      </c>
      <c r="D72" s="2" t="s">
        <v>10</v>
      </c>
      <c r="E72" s="2">
        <v>1080</v>
      </c>
      <c r="F72" s="2">
        <v>35</v>
      </c>
      <c r="G72" s="2" t="s">
        <v>11</v>
      </c>
      <c r="H72" s="2">
        <v>1</v>
      </c>
    </row>
    <row r="73" spans="1:8" x14ac:dyDescent="0.3">
      <c r="A73" s="2" t="s">
        <v>90</v>
      </c>
      <c r="B73" s="3">
        <v>46091</v>
      </c>
      <c r="C73" s="2" t="s">
        <v>13</v>
      </c>
      <c r="D73" s="2" t="s">
        <v>17</v>
      </c>
      <c r="E73" s="2">
        <v>690</v>
      </c>
      <c r="F73" s="2">
        <v>30</v>
      </c>
      <c r="G73" s="2" t="s">
        <v>11</v>
      </c>
      <c r="H73" s="2">
        <v>1</v>
      </c>
    </row>
    <row r="74" spans="1:8" x14ac:dyDescent="0.3">
      <c r="A74" s="2" t="s">
        <v>91</v>
      </c>
      <c r="B74" s="3">
        <v>46097</v>
      </c>
      <c r="C74" s="2" t="s">
        <v>16</v>
      </c>
      <c r="D74" s="2" t="s">
        <v>20</v>
      </c>
      <c r="E74" s="2">
        <v>1510</v>
      </c>
      <c r="F74" s="2">
        <v>47</v>
      </c>
      <c r="G74" s="2" t="s">
        <v>36</v>
      </c>
      <c r="H74" s="2">
        <v>1</v>
      </c>
    </row>
    <row r="75" spans="1:8" x14ac:dyDescent="0.3">
      <c r="A75" s="2" t="s">
        <v>92</v>
      </c>
      <c r="B75" s="3">
        <v>46103</v>
      </c>
      <c r="C75" s="2" t="s">
        <v>19</v>
      </c>
      <c r="D75" s="2" t="s">
        <v>14</v>
      </c>
      <c r="E75" s="2">
        <v>840</v>
      </c>
      <c r="F75" s="2">
        <v>34</v>
      </c>
      <c r="G75" s="2" t="s">
        <v>11</v>
      </c>
      <c r="H75" s="2">
        <v>1</v>
      </c>
    </row>
    <row r="76" spans="1:8" x14ac:dyDescent="0.3">
      <c r="A76" s="2" t="s">
        <v>93</v>
      </c>
      <c r="B76" s="3">
        <v>46109</v>
      </c>
      <c r="C76" s="2" t="s">
        <v>22</v>
      </c>
      <c r="D76" s="2" t="s">
        <v>10</v>
      </c>
      <c r="E76" s="2">
        <v>610</v>
      </c>
      <c r="F76" s="2">
        <v>26</v>
      </c>
      <c r="G76" s="2" t="s">
        <v>11</v>
      </c>
      <c r="H76" s="2">
        <v>1</v>
      </c>
    </row>
    <row r="77" spans="1:8" x14ac:dyDescent="0.3">
      <c r="A77" s="2" t="s">
        <v>94</v>
      </c>
      <c r="B77" s="3">
        <v>46116</v>
      </c>
      <c r="C77" s="2" t="s">
        <v>9</v>
      </c>
      <c r="D77" s="2" t="s">
        <v>20</v>
      </c>
      <c r="E77" s="2">
        <v>1010</v>
      </c>
      <c r="F77" s="2">
        <v>38</v>
      </c>
      <c r="G77" s="2" t="s">
        <v>11</v>
      </c>
      <c r="H77" s="2">
        <v>1</v>
      </c>
    </row>
    <row r="78" spans="1:8" x14ac:dyDescent="0.3">
      <c r="A78" s="2" t="s">
        <v>95</v>
      </c>
      <c r="B78" s="3">
        <v>46122</v>
      </c>
      <c r="C78" s="2" t="s">
        <v>13</v>
      </c>
      <c r="D78" s="2" t="s">
        <v>14</v>
      </c>
      <c r="E78" s="2">
        <v>670</v>
      </c>
      <c r="F78" s="2">
        <v>29</v>
      </c>
      <c r="G78" s="2" t="s">
        <v>11</v>
      </c>
      <c r="H78" s="2">
        <v>1</v>
      </c>
    </row>
    <row r="79" spans="1:8" x14ac:dyDescent="0.3">
      <c r="A79" s="2" t="s">
        <v>96</v>
      </c>
      <c r="B79" s="3">
        <v>46128</v>
      </c>
      <c r="C79" s="2" t="s">
        <v>16</v>
      </c>
      <c r="D79" s="2" t="s">
        <v>10</v>
      </c>
      <c r="E79" s="2">
        <v>1390</v>
      </c>
      <c r="F79" s="2">
        <v>43</v>
      </c>
      <c r="G79" s="2" t="s">
        <v>11</v>
      </c>
      <c r="H79" s="2">
        <v>1</v>
      </c>
    </row>
    <row r="80" spans="1:8" x14ac:dyDescent="0.3">
      <c r="A80" s="2" t="s">
        <v>97</v>
      </c>
      <c r="B80" s="3">
        <v>46134</v>
      </c>
      <c r="C80" s="2" t="s">
        <v>19</v>
      </c>
      <c r="D80" s="2" t="s">
        <v>17</v>
      </c>
      <c r="E80" s="2">
        <v>880</v>
      </c>
      <c r="F80" s="2">
        <v>36</v>
      </c>
      <c r="G80" s="2" t="s">
        <v>11</v>
      </c>
      <c r="H80" s="2">
        <v>1</v>
      </c>
    </row>
    <row r="81" spans="1:8" x14ac:dyDescent="0.3">
      <c r="A81" s="2" t="s">
        <v>98</v>
      </c>
      <c r="B81" s="3">
        <v>46140</v>
      </c>
      <c r="C81" s="2" t="s">
        <v>22</v>
      </c>
      <c r="D81" s="2" t="s">
        <v>20</v>
      </c>
      <c r="E81" s="2">
        <v>590</v>
      </c>
      <c r="F81" s="2">
        <v>24</v>
      </c>
      <c r="G81" s="2" t="s">
        <v>11</v>
      </c>
      <c r="H81" s="2">
        <v>1</v>
      </c>
    </row>
    <row r="82" spans="1:8" x14ac:dyDescent="0.3">
      <c r="A82" s="2" t="s">
        <v>99</v>
      </c>
      <c r="B82" s="3">
        <v>46146</v>
      </c>
      <c r="C82" s="2" t="s">
        <v>9</v>
      </c>
      <c r="D82" s="2" t="s">
        <v>17</v>
      </c>
      <c r="E82" s="2">
        <v>950</v>
      </c>
      <c r="F82" s="2">
        <v>34</v>
      </c>
      <c r="G82" s="2" t="s">
        <v>11</v>
      </c>
      <c r="H82" s="2">
        <v>1</v>
      </c>
    </row>
    <row r="83" spans="1:8" x14ac:dyDescent="0.3">
      <c r="A83" s="2" t="s">
        <v>100</v>
      </c>
      <c r="B83" s="3">
        <v>46152</v>
      </c>
      <c r="C83" s="2" t="s">
        <v>13</v>
      </c>
      <c r="D83" s="2" t="s">
        <v>10</v>
      </c>
      <c r="E83" s="2">
        <v>720</v>
      </c>
      <c r="F83" s="2">
        <v>32</v>
      </c>
      <c r="G83" s="2" t="s">
        <v>11</v>
      </c>
      <c r="H83" s="2">
        <v>1</v>
      </c>
    </row>
    <row r="84" spans="1:8" x14ac:dyDescent="0.3">
      <c r="A84" s="2" t="s">
        <v>101</v>
      </c>
      <c r="B84" s="3">
        <v>46158</v>
      </c>
      <c r="C84" s="2" t="s">
        <v>16</v>
      </c>
      <c r="D84" s="2" t="s">
        <v>14</v>
      </c>
      <c r="E84" s="2">
        <v>1470</v>
      </c>
      <c r="F84" s="2">
        <v>46</v>
      </c>
      <c r="G84" s="2" t="s">
        <v>36</v>
      </c>
      <c r="H84" s="2">
        <v>1</v>
      </c>
    </row>
    <row r="85" spans="1:8" x14ac:dyDescent="0.3">
      <c r="A85" s="2" t="s">
        <v>102</v>
      </c>
      <c r="B85" s="3">
        <v>46164</v>
      </c>
      <c r="C85" s="2" t="s">
        <v>19</v>
      </c>
      <c r="D85" s="2" t="s">
        <v>20</v>
      </c>
      <c r="E85" s="2">
        <v>910</v>
      </c>
      <c r="F85" s="2">
        <v>38</v>
      </c>
      <c r="G85" s="2" t="s">
        <v>11</v>
      </c>
      <c r="H85" s="2">
        <v>1</v>
      </c>
    </row>
    <row r="86" spans="1:8" x14ac:dyDescent="0.3">
      <c r="A86" s="2" t="s">
        <v>103</v>
      </c>
      <c r="B86" s="3">
        <v>46170</v>
      </c>
      <c r="C86" s="2" t="s">
        <v>22</v>
      </c>
      <c r="D86" s="2" t="s">
        <v>17</v>
      </c>
      <c r="E86" s="2">
        <v>580</v>
      </c>
      <c r="F86" s="2">
        <v>25</v>
      </c>
      <c r="G86" s="2" t="s">
        <v>11</v>
      </c>
      <c r="H86" s="2">
        <v>1</v>
      </c>
    </row>
    <row r="87" spans="1:8" x14ac:dyDescent="0.3">
      <c r="A87" s="2" t="s">
        <v>104</v>
      </c>
      <c r="B87" s="3">
        <v>46177</v>
      </c>
      <c r="C87" s="2" t="s">
        <v>9</v>
      </c>
      <c r="D87" s="2" t="s">
        <v>10</v>
      </c>
      <c r="E87" s="2">
        <v>1120</v>
      </c>
      <c r="F87" s="2">
        <v>37</v>
      </c>
      <c r="G87" s="2" t="s">
        <v>11</v>
      </c>
      <c r="H87" s="2">
        <v>1</v>
      </c>
    </row>
    <row r="88" spans="1:8" x14ac:dyDescent="0.3">
      <c r="A88" s="2" t="s">
        <v>105</v>
      </c>
      <c r="B88" s="3">
        <v>46183</v>
      </c>
      <c r="C88" s="2" t="s">
        <v>13</v>
      </c>
      <c r="D88" s="2" t="s">
        <v>14</v>
      </c>
      <c r="E88" s="2">
        <v>660</v>
      </c>
      <c r="F88" s="2">
        <v>28</v>
      </c>
      <c r="G88" s="2" t="s">
        <v>11</v>
      </c>
      <c r="H88" s="2">
        <v>1</v>
      </c>
    </row>
    <row r="89" spans="1:8" x14ac:dyDescent="0.3">
      <c r="A89" s="2" t="s">
        <v>106</v>
      </c>
      <c r="B89" s="3">
        <v>46189</v>
      </c>
      <c r="C89" s="2" t="s">
        <v>16</v>
      </c>
      <c r="D89" s="2" t="s">
        <v>20</v>
      </c>
      <c r="E89" s="2">
        <v>1540</v>
      </c>
      <c r="F89" s="2">
        <v>48</v>
      </c>
      <c r="G89" s="2" t="s">
        <v>36</v>
      </c>
      <c r="H89" s="2">
        <v>1</v>
      </c>
    </row>
    <row r="90" spans="1:8" x14ac:dyDescent="0.3">
      <c r="A90" s="2" t="s">
        <v>107</v>
      </c>
      <c r="B90" s="3">
        <v>46195</v>
      </c>
      <c r="C90" s="2" t="s">
        <v>19</v>
      </c>
      <c r="D90" s="2" t="s">
        <v>17</v>
      </c>
      <c r="E90" s="2">
        <v>870</v>
      </c>
      <c r="F90" s="2">
        <v>35</v>
      </c>
      <c r="G90" s="2" t="s">
        <v>11</v>
      </c>
      <c r="H90" s="2">
        <v>1</v>
      </c>
    </row>
    <row r="91" spans="1:8" x14ac:dyDescent="0.3">
      <c r="A91" s="2" t="s">
        <v>108</v>
      </c>
      <c r="B91" s="3">
        <v>46201</v>
      </c>
      <c r="C91" s="2" t="s">
        <v>22</v>
      </c>
      <c r="D91" s="2" t="s">
        <v>10</v>
      </c>
      <c r="E91" s="2">
        <v>640</v>
      </c>
      <c r="F91" s="2">
        <v>27</v>
      </c>
      <c r="G91" s="2" t="s">
        <v>11</v>
      </c>
      <c r="H91" s="2">
        <v>1</v>
      </c>
    </row>
    <row r="92" spans="1:8" x14ac:dyDescent="0.3">
      <c r="A92" s="2" t="s">
        <v>109</v>
      </c>
      <c r="B92" s="3">
        <v>46028</v>
      </c>
      <c r="C92" s="2" t="s">
        <v>9</v>
      </c>
      <c r="D92" s="2" t="s">
        <v>20</v>
      </c>
      <c r="E92" s="2">
        <v>830</v>
      </c>
      <c r="F92" s="2">
        <v>30</v>
      </c>
      <c r="G92" s="2" t="s">
        <v>11</v>
      </c>
      <c r="H92" s="2">
        <v>1</v>
      </c>
    </row>
    <row r="93" spans="1:8" x14ac:dyDescent="0.3">
      <c r="A93" s="2" t="s">
        <v>110</v>
      </c>
      <c r="B93" s="3">
        <v>46066</v>
      </c>
      <c r="C93" s="2" t="s">
        <v>13</v>
      </c>
      <c r="D93" s="2" t="s">
        <v>17</v>
      </c>
      <c r="E93" s="2">
        <v>710</v>
      </c>
      <c r="F93" s="2">
        <v>32</v>
      </c>
      <c r="G93" s="2" t="s">
        <v>11</v>
      </c>
      <c r="H93" s="2">
        <v>1</v>
      </c>
    </row>
    <row r="94" spans="1:8" x14ac:dyDescent="0.3">
      <c r="A94" s="2" t="s">
        <v>111</v>
      </c>
      <c r="B94" s="3">
        <v>46100</v>
      </c>
      <c r="C94" s="2" t="s">
        <v>16</v>
      </c>
      <c r="D94" s="2" t="s">
        <v>14</v>
      </c>
      <c r="E94" s="2">
        <v>1350</v>
      </c>
      <c r="F94" s="2">
        <v>44</v>
      </c>
      <c r="G94" s="2" t="s">
        <v>11</v>
      </c>
      <c r="H94" s="2">
        <v>1</v>
      </c>
    </row>
    <row r="95" spans="1:8" x14ac:dyDescent="0.3">
      <c r="A95" s="2" t="s">
        <v>112</v>
      </c>
      <c r="B95" s="3">
        <v>46137</v>
      </c>
      <c r="C95" s="2" t="s">
        <v>19</v>
      </c>
      <c r="D95" s="2" t="s">
        <v>10</v>
      </c>
      <c r="E95" s="2">
        <v>950</v>
      </c>
      <c r="F95" s="2">
        <v>41</v>
      </c>
      <c r="G95" s="2" t="s">
        <v>11</v>
      </c>
      <c r="H95" s="2">
        <v>1</v>
      </c>
    </row>
    <row r="96" spans="1:8" x14ac:dyDescent="0.3">
      <c r="A96" s="2" t="s">
        <v>113</v>
      </c>
      <c r="B96" s="3">
        <v>46144</v>
      </c>
      <c r="C96" s="2" t="s">
        <v>22</v>
      </c>
      <c r="D96" s="2" t="s">
        <v>20</v>
      </c>
      <c r="E96" s="2">
        <v>570</v>
      </c>
      <c r="F96" s="2">
        <v>24</v>
      </c>
      <c r="G96" s="2" t="s">
        <v>11</v>
      </c>
      <c r="H96" s="2">
        <v>1</v>
      </c>
    </row>
    <row r="97" spans="1:8" x14ac:dyDescent="0.3">
      <c r="A97" s="2" t="s">
        <v>114</v>
      </c>
      <c r="B97" s="3">
        <v>46181</v>
      </c>
      <c r="C97" s="2" t="s">
        <v>9</v>
      </c>
      <c r="D97" s="2" t="s">
        <v>17</v>
      </c>
      <c r="E97" s="2">
        <v>1030</v>
      </c>
      <c r="F97" s="2">
        <v>36</v>
      </c>
      <c r="G97" s="2" t="s">
        <v>11</v>
      </c>
      <c r="H97" s="2">
        <v>1</v>
      </c>
    </row>
    <row r="98" spans="1:8" x14ac:dyDescent="0.3">
      <c r="A98" s="2" t="s">
        <v>115</v>
      </c>
      <c r="B98" s="3">
        <v>46187</v>
      </c>
      <c r="C98" s="2" t="s">
        <v>13</v>
      </c>
      <c r="D98" s="2" t="s">
        <v>20</v>
      </c>
      <c r="E98" s="2">
        <v>690</v>
      </c>
      <c r="F98" s="2">
        <v>30</v>
      </c>
      <c r="G98" s="2" t="s">
        <v>11</v>
      </c>
      <c r="H98" s="2">
        <v>1</v>
      </c>
    </row>
    <row r="99" spans="1:8" x14ac:dyDescent="0.3">
      <c r="A99" s="2" t="s">
        <v>116</v>
      </c>
      <c r="B99" s="3">
        <v>46193</v>
      </c>
      <c r="C99" s="2" t="s">
        <v>16</v>
      </c>
      <c r="D99" s="2" t="s">
        <v>10</v>
      </c>
      <c r="E99" s="2">
        <v>1460</v>
      </c>
      <c r="F99" s="2">
        <v>45</v>
      </c>
      <c r="G99" s="2" t="s">
        <v>11</v>
      </c>
      <c r="H99" s="2">
        <v>1</v>
      </c>
    </row>
    <row r="100" spans="1:8" x14ac:dyDescent="0.3">
      <c r="A100" s="2" t="s">
        <v>117</v>
      </c>
      <c r="B100" s="3">
        <v>46199</v>
      </c>
      <c r="C100" s="2" t="s">
        <v>19</v>
      </c>
      <c r="D100" s="2" t="s">
        <v>14</v>
      </c>
      <c r="E100" s="2">
        <v>860</v>
      </c>
      <c r="F100" s="2">
        <v>37</v>
      </c>
      <c r="G100" s="2" t="s">
        <v>11</v>
      </c>
      <c r="H100" s="2">
        <v>1</v>
      </c>
    </row>
    <row r="101" spans="1:8" x14ac:dyDescent="0.3">
      <c r="A101" s="2" t="s">
        <v>118</v>
      </c>
      <c r="B101" s="3">
        <v>46203</v>
      </c>
      <c r="C101" s="2" t="s">
        <v>22</v>
      </c>
      <c r="D101" s="2" t="s">
        <v>17</v>
      </c>
      <c r="E101" s="2">
        <v>620</v>
      </c>
      <c r="F101" s="2">
        <v>26</v>
      </c>
      <c r="G101" s="2" t="s">
        <v>11</v>
      </c>
      <c r="H101" s="2">
        <v>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EE8DB0-7CAB-4803-B99E-D0F81E9BA584}">
  <dimension ref="A1:K20"/>
  <sheetViews>
    <sheetView topLeftCell="A4" workbookViewId="0">
      <selection activeCell="N17" sqref="N17"/>
    </sheetView>
  </sheetViews>
  <sheetFormatPr defaultRowHeight="14.4" x14ac:dyDescent="0.3"/>
  <cols>
    <col min="1" max="1" width="12.5546875" bestFit="1" customWidth="1"/>
    <col min="2" max="2" width="17.77734375" bestFit="1" customWidth="1"/>
    <col min="3" max="3" width="26" bestFit="1" customWidth="1"/>
    <col min="4" max="4" width="17.77734375" bestFit="1" customWidth="1"/>
    <col min="5" max="5" width="26" bestFit="1" customWidth="1"/>
    <col min="6" max="6" width="17.77734375" bestFit="1" customWidth="1"/>
    <col min="7" max="7" width="26" bestFit="1" customWidth="1"/>
    <col min="8" max="8" width="17.77734375" bestFit="1" customWidth="1"/>
    <col min="9" max="9" width="26" bestFit="1" customWidth="1"/>
    <col min="10" max="10" width="22.5546875" bestFit="1" customWidth="1"/>
    <col min="11" max="11" width="30.77734375" bestFit="1" customWidth="1"/>
  </cols>
  <sheetData>
    <row r="1" spans="1:11" x14ac:dyDescent="0.3">
      <c r="A1" s="5" t="s">
        <v>6</v>
      </c>
      <c r="B1" t="s">
        <v>123</v>
      </c>
    </row>
    <row r="3" spans="1:11" x14ac:dyDescent="0.3">
      <c r="B3" s="5" t="s">
        <v>122</v>
      </c>
    </row>
    <row r="4" spans="1:11" x14ac:dyDescent="0.3">
      <c r="B4" t="s">
        <v>14</v>
      </c>
      <c r="D4" t="s">
        <v>20</v>
      </c>
      <c r="F4" t="s">
        <v>17</v>
      </c>
      <c r="H4" t="s">
        <v>10</v>
      </c>
      <c r="J4" t="s">
        <v>127</v>
      </c>
      <c r="K4" t="s">
        <v>128</v>
      </c>
    </row>
    <row r="5" spans="1:11" x14ac:dyDescent="0.3">
      <c r="A5" s="5" t="s">
        <v>120</v>
      </c>
      <c r="B5" t="s">
        <v>119</v>
      </c>
      <c r="C5" t="s">
        <v>129</v>
      </c>
      <c r="D5" t="s">
        <v>119</v>
      </c>
      <c r="E5" t="s">
        <v>129</v>
      </c>
      <c r="F5" t="s">
        <v>119</v>
      </c>
      <c r="G5" t="s">
        <v>129</v>
      </c>
      <c r="H5" t="s">
        <v>119</v>
      </c>
      <c r="I5" t="s">
        <v>129</v>
      </c>
    </row>
    <row r="6" spans="1:11" x14ac:dyDescent="0.3">
      <c r="A6" s="6" t="s">
        <v>13</v>
      </c>
      <c r="B6" s="4">
        <v>4000</v>
      </c>
      <c r="C6" s="4">
        <v>666.66666666666663</v>
      </c>
      <c r="D6" s="4">
        <v>4290</v>
      </c>
      <c r="E6" s="4">
        <v>715</v>
      </c>
      <c r="F6" s="4">
        <v>1400</v>
      </c>
      <c r="G6" s="4">
        <v>700</v>
      </c>
      <c r="H6" s="4">
        <v>4140</v>
      </c>
      <c r="I6" s="4">
        <v>690</v>
      </c>
      <c r="J6" s="4">
        <v>13830</v>
      </c>
      <c r="K6" s="4">
        <v>691.5</v>
      </c>
    </row>
    <row r="7" spans="1:11" x14ac:dyDescent="0.3">
      <c r="A7" s="6" t="s">
        <v>9</v>
      </c>
      <c r="B7" s="4">
        <v>4910</v>
      </c>
      <c r="C7" s="4">
        <v>982</v>
      </c>
      <c r="D7" s="4">
        <v>5570</v>
      </c>
      <c r="E7" s="4">
        <v>928.33333333333337</v>
      </c>
      <c r="F7" s="4">
        <v>2950</v>
      </c>
      <c r="G7" s="4">
        <v>983.33333333333337</v>
      </c>
      <c r="H7" s="4">
        <v>6190</v>
      </c>
      <c r="I7" s="4">
        <v>1031.6666666666667</v>
      </c>
      <c r="J7" s="4">
        <v>19620</v>
      </c>
      <c r="K7" s="4">
        <v>981</v>
      </c>
    </row>
    <row r="8" spans="1:11" x14ac:dyDescent="0.3">
      <c r="A8" s="6" t="s">
        <v>16</v>
      </c>
      <c r="B8" s="4">
        <v>8380</v>
      </c>
      <c r="C8" s="4">
        <v>1396.6666666666667</v>
      </c>
      <c r="D8" s="4">
        <v>8900</v>
      </c>
      <c r="E8" s="4">
        <v>1483.3333333333333</v>
      </c>
      <c r="F8" s="4">
        <v>2670</v>
      </c>
      <c r="G8" s="4">
        <v>1335</v>
      </c>
      <c r="H8" s="4">
        <v>8700</v>
      </c>
      <c r="I8" s="4">
        <v>1450</v>
      </c>
      <c r="J8" s="4">
        <v>28650</v>
      </c>
      <c r="K8" s="4">
        <v>1432.5</v>
      </c>
    </row>
    <row r="9" spans="1:11" x14ac:dyDescent="0.3">
      <c r="A9" s="6" t="s">
        <v>19</v>
      </c>
      <c r="B9" s="4">
        <v>2510</v>
      </c>
      <c r="C9" s="4">
        <v>836.66666666666663</v>
      </c>
      <c r="D9" s="4">
        <v>5340</v>
      </c>
      <c r="E9" s="4">
        <v>890</v>
      </c>
      <c r="F9" s="4">
        <v>7770</v>
      </c>
      <c r="G9" s="4">
        <v>863.33333333333337</v>
      </c>
      <c r="H9" s="4">
        <v>1880</v>
      </c>
      <c r="I9" s="4">
        <v>940</v>
      </c>
      <c r="J9" s="4">
        <v>17500</v>
      </c>
      <c r="K9" s="4">
        <v>875</v>
      </c>
    </row>
    <row r="10" spans="1:11" x14ac:dyDescent="0.3">
      <c r="A10" s="6" t="s">
        <v>22</v>
      </c>
      <c r="B10" s="4">
        <v>2670</v>
      </c>
      <c r="C10" s="4">
        <v>534</v>
      </c>
      <c r="D10" s="4">
        <v>1160</v>
      </c>
      <c r="E10" s="4">
        <v>580</v>
      </c>
      <c r="F10" s="4">
        <v>4100</v>
      </c>
      <c r="G10" s="4">
        <v>585.71428571428567</v>
      </c>
      <c r="H10" s="4">
        <v>3650</v>
      </c>
      <c r="I10" s="4">
        <v>608.33333333333337</v>
      </c>
      <c r="J10" s="4">
        <v>11580</v>
      </c>
      <c r="K10" s="4">
        <v>579</v>
      </c>
    </row>
    <row r="11" spans="1:11" x14ac:dyDescent="0.3">
      <c r="A11" s="6" t="s">
        <v>121</v>
      </c>
      <c r="B11" s="4">
        <v>22470</v>
      </c>
      <c r="C11" s="4">
        <v>898.8</v>
      </c>
      <c r="D11" s="4">
        <v>25260</v>
      </c>
      <c r="E11" s="4">
        <v>971.53846153846155</v>
      </c>
      <c r="F11" s="4">
        <v>18890</v>
      </c>
      <c r="G11" s="4">
        <v>821.304347826087</v>
      </c>
      <c r="H11" s="4">
        <v>24560</v>
      </c>
      <c r="I11" s="4">
        <v>944.61538461538464</v>
      </c>
      <c r="J11" s="4">
        <v>91180</v>
      </c>
      <c r="K11" s="4">
        <v>911.8</v>
      </c>
    </row>
    <row r="13" spans="1:11" x14ac:dyDescent="0.3">
      <c r="A13" s="5" t="s">
        <v>119</v>
      </c>
      <c r="B13" s="5" t="s">
        <v>122</v>
      </c>
    </row>
    <row r="14" spans="1:11" x14ac:dyDescent="0.3">
      <c r="A14" s="5" t="s">
        <v>120</v>
      </c>
      <c r="B14" t="s">
        <v>14</v>
      </c>
      <c r="C14" t="s">
        <v>20</v>
      </c>
      <c r="D14" t="s">
        <v>17</v>
      </c>
      <c r="E14" t="s">
        <v>10</v>
      </c>
      <c r="F14" t="s">
        <v>121</v>
      </c>
    </row>
    <row r="15" spans="1:11" x14ac:dyDescent="0.3">
      <c r="A15" s="6" t="s">
        <v>13</v>
      </c>
      <c r="B15" s="4">
        <v>4000</v>
      </c>
      <c r="C15" s="4">
        <v>4290</v>
      </c>
      <c r="D15" s="4">
        <v>1400</v>
      </c>
      <c r="E15" s="4">
        <v>4140</v>
      </c>
      <c r="F15" s="4">
        <v>13830</v>
      </c>
    </row>
    <row r="16" spans="1:11" x14ac:dyDescent="0.3">
      <c r="A16" s="6" t="s">
        <v>9</v>
      </c>
      <c r="B16" s="4">
        <v>4910</v>
      </c>
      <c r="C16" s="4">
        <v>5570</v>
      </c>
      <c r="D16" s="4">
        <v>2950</v>
      </c>
      <c r="E16" s="4">
        <v>6190</v>
      </c>
      <c r="F16" s="4">
        <v>19620</v>
      </c>
    </row>
    <row r="17" spans="1:6" x14ac:dyDescent="0.3">
      <c r="A17" s="6" t="s">
        <v>16</v>
      </c>
      <c r="B17" s="4">
        <v>8380</v>
      </c>
      <c r="C17" s="4">
        <v>8900</v>
      </c>
      <c r="D17" s="4">
        <v>2670</v>
      </c>
      <c r="E17" s="4">
        <v>8700</v>
      </c>
      <c r="F17" s="4">
        <v>28650</v>
      </c>
    </row>
    <row r="18" spans="1:6" x14ac:dyDescent="0.3">
      <c r="A18" s="6" t="s">
        <v>19</v>
      </c>
      <c r="B18" s="4">
        <v>2510</v>
      </c>
      <c r="C18" s="4">
        <v>5340</v>
      </c>
      <c r="D18" s="4">
        <v>7770</v>
      </c>
      <c r="E18" s="4">
        <v>1880</v>
      </c>
      <c r="F18" s="4">
        <v>17500</v>
      </c>
    </row>
    <row r="19" spans="1:6" x14ac:dyDescent="0.3">
      <c r="A19" s="6" t="s">
        <v>22</v>
      </c>
      <c r="B19" s="4">
        <v>2670</v>
      </c>
      <c r="C19" s="4">
        <v>1160</v>
      </c>
      <c r="D19" s="4">
        <v>4100</v>
      </c>
      <c r="E19" s="4">
        <v>3650</v>
      </c>
      <c r="F19" s="4">
        <v>11580</v>
      </c>
    </row>
    <row r="20" spans="1:6" x14ac:dyDescent="0.3">
      <c r="A20" s="6" t="s">
        <v>121</v>
      </c>
      <c r="B20" s="4">
        <v>22470</v>
      </c>
      <c r="C20" s="4">
        <v>25260</v>
      </c>
      <c r="D20" s="4">
        <v>18890</v>
      </c>
      <c r="E20" s="4">
        <v>24560</v>
      </c>
      <c r="F20" s="4">
        <v>91180</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4A3E-3457-4C4C-BA45-DC68A1343339}">
  <dimension ref="A3:B6"/>
  <sheetViews>
    <sheetView workbookViewId="0">
      <selection activeCell="H13" sqref="H13"/>
    </sheetView>
  </sheetViews>
  <sheetFormatPr defaultRowHeight="14.4" x14ac:dyDescent="0.3"/>
  <cols>
    <col min="1" max="1" width="12.5546875" bestFit="1" customWidth="1"/>
    <col min="2" max="2" width="15.44140625" bestFit="1" customWidth="1"/>
  </cols>
  <sheetData>
    <row r="3" spans="1:2" x14ac:dyDescent="0.3">
      <c r="A3" s="5" t="s">
        <v>120</v>
      </c>
      <c r="B3" t="s">
        <v>126</v>
      </c>
    </row>
    <row r="4" spans="1:2" x14ac:dyDescent="0.3">
      <c r="A4" s="6" t="s">
        <v>124</v>
      </c>
      <c r="B4" s="4">
        <v>48</v>
      </c>
    </row>
    <row r="5" spans="1:2" x14ac:dyDescent="0.3">
      <c r="A5" s="6" t="s">
        <v>125</v>
      </c>
      <c r="B5" s="4">
        <v>52</v>
      </c>
    </row>
    <row r="6" spans="1:2" x14ac:dyDescent="0.3">
      <c r="A6" s="6" t="s">
        <v>121</v>
      </c>
      <c r="B6" s="4">
        <v>100</v>
      </c>
    </row>
  </sheetData>
  <pageMargins left="0.7" right="0.7" top="0.75" bottom="0.75" header="0.3" footer="0.3"/>
  <drawing r:id="rId2"/>
  <extLst>
    <ext xmlns:x15="http://schemas.microsoft.com/office/spreadsheetml/2010/11/main" uri="{7E03D99C-DC04-49d9-9315-930204A7B6E9}">
      <x15:timelineRefs>
        <x15:timelineRef r:id="rId3"/>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E9A5F-33AF-4ADB-B9AF-BCFE5F989E1C}">
  <dimension ref="A1:Q7"/>
  <sheetViews>
    <sheetView tabSelected="1" workbookViewId="0">
      <selection activeCell="A8" sqref="A8"/>
    </sheetView>
  </sheetViews>
  <sheetFormatPr defaultRowHeight="14.4" x14ac:dyDescent="0.3"/>
  <sheetData>
    <row r="1" spans="1:17" x14ac:dyDescent="0.3">
      <c r="A1" s="7" t="s">
        <v>130</v>
      </c>
      <c r="B1" s="7"/>
      <c r="C1" s="7"/>
      <c r="D1" s="7"/>
      <c r="E1" s="7"/>
      <c r="F1" s="7"/>
      <c r="G1" s="7"/>
      <c r="H1" s="7"/>
      <c r="I1" s="7"/>
      <c r="J1" s="7"/>
      <c r="K1" s="7"/>
      <c r="L1" s="7"/>
      <c r="M1" s="7"/>
      <c r="N1" s="7"/>
      <c r="O1" s="7"/>
      <c r="P1" s="7"/>
      <c r="Q1" s="7"/>
    </row>
    <row r="2" spans="1:17" x14ac:dyDescent="0.3">
      <c r="A2" s="7"/>
      <c r="B2" s="7"/>
      <c r="C2" s="7"/>
      <c r="D2" s="7"/>
      <c r="E2" s="7"/>
      <c r="F2" s="7"/>
      <c r="G2" s="7"/>
      <c r="H2" s="7"/>
      <c r="I2" s="7"/>
      <c r="J2" s="7"/>
      <c r="K2" s="7"/>
      <c r="L2" s="7"/>
      <c r="M2" s="7"/>
      <c r="N2" s="7"/>
      <c r="O2" s="7"/>
      <c r="P2" s="7"/>
      <c r="Q2" s="7"/>
    </row>
    <row r="3" spans="1:17" x14ac:dyDescent="0.3">
      <c r="A3" s="7"/>
      <c r="B3" s="7"/>
      <c r="C3" s="7"/>
      <c r="D3" s="7"/>
      <c r="E3" s="7"/>
      <c r="F3" s="7"/>
      <c r="G3" s="7"/>
      <c r="H3" s="7"/>
      <c r="I3" s="7"/>
      <c r="J3" s="7"/>
      <c r="K3" s="7"/>
      <c r="L3" s="7"/>
      <c r="M3" s="7"/>
      <c r="N3" s="7"/>
      <c r="O3" s="7"/>
      <c r="P3" s="7"/>
      <c r="Q3" s="7"/>
    </row>
    <row r="4" spans="1:17" x14ac:dyDescent="0.3">
      <c r="A4" s="8">
        <f>GETPIVOTDATA("Revenue (₹)",REVENUEBYCUISINE!$A$13)</f>
        <v>91180</v>
      </c>
      <c r="B4" s="8"/>
      <c r="C4" s="8"/>
      <c r="D4" s="8"/>
      <c r="E4" s="8"/>
      <c r="F4" s="9"/>
      <c r="G4" s="8">
        <f>MIN(TBLORDERS!E2:E101)</f>
        <v>510</v>
      </c>
      <c r="H4" s="8"/>
      <c r="I4" s="8"/>
      <c r="J4" s="8"/>
      <c r="K4" s="8"/>
      <c r="L4" s="9"/>
      <c r="M4" s="8">
        <f>MAX(TBLORDERS!E2:E101)</f>
        <v>1580</v>
      </c>
      <c r="N4" s="8"/>
      <c r="O4" s="8"/>
      <c r="P4" s="8"/>
      <c r="Q4" s="8"/>
    </row>
    <row r="5" spans="1:17" x14ac:dyDescent="0.3">
      <c r="A5" s="8"/>
      <c r="B5" s="8"/>
      <c r="C5" s="8"/>
      <c r="D5" s="8"/>
      <c r="E5" s="8"/>
      <c r="F5" s="9"/>
      <c r="G5" s="8"/>
      <c r="H5" s="8"/>
      <c r="I5" s="8"/>
      <c r="J5" s="8"/>
      <c r="K5" s="8"/>
      <c r="L5" s="9"/>
      <c r="M5" s="8"/>
      <c r="N5" s="8"/>
      <c r="O5" s="8"/>
      <c r="P5" s="8"/>
      <c r="Q5" s="8"/>
    </row>
    <row r="6" spans="1:17" x14ac:dyDescent="0.3">
      <c r="A6" s="8"/>
      <c r="B6" s="8"/>
      <c r="C6" s="8"/>
      <c r="D6" s="8"/>
      <c r="E6" s="8"/>
      <c r="F6" s="9"/>
      <c r="G6" s="8"/>
      <c r="H6" s="8"/>
      <c r="I6" s="8"/>
      <c r="J6" s="8"/>
      <c r="K6" s="8"/>
      <c r="L6" s="9"/>
      <c r="M6" s="8"/>
      <c r="N6" s="8"/>
      <c r="O6" s="8"/>
      <c r="P6" s="8"/>
      <c r="Q6" s="8"/>
    </row>
    <row r="7" spans="1:17" x14ac:dyDescent="0.3">
      <c r="A7" s="8"/>
      <c r="B7" s="8"/>
      <c r="C7" s="8"/>
      <c r="D7" s="8"/>
      <c r="E7" s="8"/>
      <c r="F7" s="9"/>
      <c r="G7" s="8"/>
      <c r="H7" s="8"/>
      <c r="I7" s="8"/>
      <c r="J7" s="8"/>
      <c r="K7" s="8"/>
      <c r="L7" s="9"/>
      <c r="M7" s="8"/>
      <c r="N7" s="8"/>
      <c r="O7" s="8"/>
      <c r="P7" s="8"/>
      <c r="Q7" s="8"/>
    </row>
  </sheetData>
  <mergeCells count="6">
    <mergeCell ref="A1:Q3"/>
    <mergeCell ref="A4:E7"/>
    <mergeCell ref="G4:K7"/>
    <mergeCell ref="M4:Q7"/>
    <mergeCell ref="F4:F7"/>
    <mergeCell ref="L4:L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TBLORDERS</vt:lpstr>
      <vt:lpstr>REVENUEBYCUISINE</vt:lpstr>
      <vt:lpstr>ORDERBYTIMELINE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vekariya hitesh</dc:creator>
  <cp:lastModifiedBy>vekariya hitesh</cp:lastModifiedBy>
  <dcterms:created xsi:type="dcterms:W3CDTF">2026-09-20T16:30:45Z</dcterms:created>
  <dcterms:modified xsi:type="dcterms:W3CDTF">2026-09-30T17:21:54Z</dcterms:modified>
</cp:coreProperties>
</file>