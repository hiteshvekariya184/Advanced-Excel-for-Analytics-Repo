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A:\Data Analytics\Excel\Assign &amp; Asses\ASSESSMENT\SECTION_B_ASSESSMENT\"/>
    </mc:Choice>
  </mc:AlternateContent>
  <xr:revisionPtr revIDLastSave="0" documentId="13_ncr:1_{4BF0B262-F8F9-45F2-AA7D-88CD55A83E6C}" xr6:coauthVersionLast="47" xr6:coauthVersionMax="47" xr10:uidLastSave="{00000000-0000-0000-0000-000000000000}"/>
  <bookViews>
    <workbookView xWindow="-108" yWindow="-108" windowWidth="23256" windowHeight="12576" xr2:uid="{C4E0BEC9-AD72-4679-A829-6764A9A2A723}"/>
  </bookViews>
  <sheets>
    <sheet name="Tasks_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3" i="1" l="1"/>
  <c r="D24" i="1"/>
  <c r="D25" i="1"/>
  <c r="D26" i="1"/>
  <c r="D22" i="1"/>
  <c r="C22" i="1" a="1"/>
  <c r="C22" i="1" s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" i="1"/>
  <c r="N3" i="1" a="1"/>
  <c r="N3" i="1" s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2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<sst xmlns="http://schemas.openxmlformats.org/spreadsheetml/2006/main" count="181" uniqueCount="117">
  <si>
    <t>RestaurantID</t>
  </si>
  <si>
    <t>RestaurantName</t>
  </si>
  <si>
    <t>Zone</t>
  </si>
  <si>
    <t>Category</t>
  </si>
  <si>
    <t>AvgRating</t>
  </si>
  <si>
    <t>R001</t>
  </si>
  <si>
    <t>Spice Villa</t>
  </si>
  <si>
    <t>West</t>
  </si>
  <si>
    <t>Dine-in</t>
  </si>
  <si>
    <t>R002</t>
  </si>
  <si>
    <t>Pizza Hub</t>
  </si>
  <si>
    <t>Central</t>
  </si>
  <si>
    <t>QSR</t>
  </si>
  <si>
    <t>R003</t>
  </si>
  <si>
    <t>Tandoori Treat</t>
  </si>
  <si>
    <t>North</t>
  </si>
  <si>
    <t>R004</t>
  </si>
  <si>
    <t>Burger Point</t>
  </si>
  <si>
    <t>South</t>
  </si>
  <si>
    <t>R005</t>
  </si>
  <si>
    <t>Wok Express</t>
  </si>
  <si>
    <t>East</t>
  </si>
  <si>
    <t>Cloud Kitchen</t>
  </si>
  <si>
    <t>R006</t>
  </si>
  <si>
    <t>Curry House</t>
  </si>
  <si>
    <t>R007</t>
  </si>
  <si>
    <t>Fast Bite</t>
  </si>
  <si>
    <t>R008</t>
  </si>
  <si>
    <t>Royal Biryani</t>
  </si>
  <si>
    <t>R009</t>
  </si>
  <si>
    <t>Pasta Palace</t>
  </si>
  <si>
    <t>R010</t>
  </si>
  <si>
    <t>Chinese Wok</t>
  </si>
  <si>
    <t>R011</t>
  </si>
  <si>
    <t>Urban Tadka</t>
  </si>
  <si>
    <t>R012</t>
  </si>
  <si>
    <t>Food Junction</t>
  </si>
  <si>
    <t>R013</t>
  </si>
  <si>
    <t>Grill Nation</t>
  </si>
  <si>
    <t>R014</t>
  </si>
  <si>
    <t>Healthy Bowl</t>
  </si>
  <si>
    <t>R015</t>
  </si>
  <si>
    <t>Masala Magic</t>
  </si>
  <si>
    <t>XLOOKUP</t>
  </si>
  <si>
    <t>Summary Details</t>
  </si>
  <si>
    <t>Average Revenue</t>
  </si>
  <si>
    <t>OrderID</t>
  </si>
  <si>
    <t>CustomerName</t>
  </si>
  <si>
    <t>OrderDate</t>
  </si>
  <si>
    <t>Revenue (Rs)</t>
  </si>
  <si>
    <t>O1001</t>
  </si>
  <si>
    <t>Aarav Shah</t>
  </si>
  <si>
    <t>O1002</t>
  </si>
  <si>
    <t>Riya Patel</t>
  </si>
  <si>
    <t>O1003</t>
  </si>
  <si>
    <t>Dev Mehta</t>
  </si>
  <si>
    <t>O1004</t>
  </si>
  <si>
    <t>Neha Joshi</t>
  </si>
  <si>
    <t>O1005</t>
  </si>
  <si>
    <t>Rahul Shah</t>
  </si>
  <si>
    <t>O1006</t>
  </si>
  <si>
    <t>Priya Desai</t>
  </si>
  <si>
    <t>O1007</t>
  </si>
  <si>
    <t>Kunal Patel</t>
  </si>
  <si>
    <t>O1008</t>
  </si>
  <si>
    <t>Meera Shah</t>
  </si>
  <si>
    <t>O1009</t>
  </si>
  <si>
    <t>Yash Trivedi</t>
  </si>
  <si>
    <t>O1010</t>
  </si>
  <si>
    <t>Anjali Mehta</t>
  </si>
  <si>
    <t>O1011</t>
  </si>
  <si>
    <t>Vivek Shah</t>
  </si>
  <si>
    <t>O1012</t>
  </si>
  <si>
    <t>Simran Patel</t>
  </si>
  <si>
    <t>O1013</t>
  </si>
  <si>
    <t>Harsh Joshi</t>
  </si>
  <si>
    <t>O1014</t>
  </si>
  <si>
    <t>Pooja Desai</t>
  </si>
  <si>
    <t>O1015</t>
  </si>
  <si>
    <t>Manav Shah</t>
  </si>
  <si>
    <t>O1016</t>
  </si>
  <si>
    <t>Ishita Patel</t>
  </si>
  <si>
    <t>O1017</t>
  </si>
  <si>
    <t>Dhruv Mehta</t>
  </si>
  <si>
    <t>O1018</t>
  </si>
  <si>
    <t>Kavya Shah</t>
  </si>
  <si>
    <t>O1019</t>
  </si>
  <si>
    <t>Jay Patel</t>
  </si>
  <si>
    <t>O1020</t>
  </si>
  <si>
    <t>Nisha Joshi</t>
  </si>
  <si>
    <t>O1021</t>
  </si>
  <si>
    <t>Arjun Desai</t>
  </si>
  <si>
    <t>O1022</t>
  </si>
  <si>
    <t>Sneha Shah</t>
  </si>
  <si>
    <t>O1023</t>
  </si>
  <si>
    <t>Rohan Patel</t>
  </si>
  <si>
    <t>O1024</t>
  </si>
  <si>
    <t>Diya Mehta</t>
  </si>
  <si>
    <t>O1025</t>
  </si>
  <si>
    <t>Mohit Shah</t>
  </si>
  <si>
    <t>13-09-2026</t>
  </si>
  <si>
    <t>O1026</t>
  </si>
  <si>
    <t>Aisha Patel</t>
  </si>
  <si>
    <t>O1027</t>
  </si>
  <si>
    <t>Parth Joshi</t>
  </si>
  <si>
    <t>14-09-2026</t>
  </si>
  <si>
    <t>O1028</t>
  </si>
  <si>
    <t>Tanvi Desai</t>
  </si>
  <si>
    <t>O1029</t>
  </si>
  <si>
    <t>Raj Shah</t>
  </si>
  <si>
    <t>15-09-2026</t>
  </si>
  <si>
    <t>O1030</t>
  </si>
  <si>
    <t>Mahi Patel</t>
  </si>
  <si>
    <t>O1031</t>
  </si>
  <si>
    <t>Hitesh Shah</t>
  </si>
  <si>
    <t>R999</t>
  </si>
  <si>
    <t>16-09-2026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</si>
</sst>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0" borderId="0" xfId="0" applyFont="1" applyFill="1" applyAlignment="1">
      <alignment vertical="center"/>
    </xf>
    <xf numFmtId="14" fontId="0" fillId="0" borderId="1" xfId="0" applyNumberForma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4FEAB-8D2F-4E2A-9594-D12A6E318471}">
  <dimension ref="C2:O36"/>
  <sheetViews>
    <sheetView tabSelected="1" zoomScaleNormal="100" workbookViewId="0">
      <selection activeCell="G23" sqref="G23"/>
    </sheetView>
  </sheetViews>
  <sheetFormatPr defaultRowHeight="14.4" x14ac:dyDescent="0.3"/>
  <cols>
    <col min="3" max="3" width="14.5546875" customWidth="1"/>
    <col min="4" max="4" width="17.77734375" customWidth="1"/>
    <col min="6" max="6" width="13.77734375" customWidth="1"/>
    <col min="7" max="7" width="16.5546875" customWidth="1"/>
    <col min="8" max="8" width="4.6640625" customWidth="1"/>
    <col min="9" max="9" width="13.6640625" customWidth="1"/>
    <col min="10" max="10" width="14.5546875" customWidth="1"/>
    <col min="11" max="11" width="13.33203125" customWidth="1"/>
    <col min="12" max="12" width="13" customWidth="1"/>
    <col min="13" max="13" width="13.109375" customWidth="1"/>
    <col min="14" max="14" width="15.21875" bestFit="1" customWidth="1"/>
    <col min="15" max="15" width="12.21875" customWidth="1"/>
  </cols>
  <sheetData>
    <row r="2" spans="3:15" x14ac:dyDescent="0.3"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I2" s="2" t="s">
        <v>46</v>
      </c>
      <c r="J2" s="2" t="s">
        <v>47</v>
      </c>
      <c r="K2" s="2" t="s">
        <v>0</v>
      </c>
      <c r="L2" s="2" t="s">
        <v>48</v>
      </c>
      <c r="M2" s="2" t="s">
        <v>49</v>
      </c>
      <c r="N2" s="2" t="s">
        <v>1</v>
      </c>
      <c r="O2" s="2" t="s">
        <v>2</v>
      </c>
    </row>
    <row r="3" spans="3:15" x14ac:dyDescent="0.3">
      <c r="C3" s="1" t="s">
        <v>5</v>
      </c>
      <c r="D3" s="1" t="s">
        <v>6</v>
      </c>
      <c r="E3" s="1" t="s">
        <v>7</v>
      </c>
      <c r="F3" s="1" t="s">
        <v>8</v>
      </c>
      <c r="G3" s="1">
        <v>4.5</v>
      </c>
      <c r="I3" s="1" t="s">
        <v>50</v>
      </c>
      <c r="J3" s="1" t="s">
        <v>51</v>
      </c>
      <c r="K3" s="1" t="s">
        <v>5</v>
      </c>
      <c r="L3" s="6">
        <v>46031</v>
      </c>
      <c r="M3" s="1">
        <v>850</v>
      </c>
      <c r="N3" s="1" t="str" cm="1">
        <f t="array" ref="N3:N33">IFERROR(INDEX(C3:D17,MATCH(K3:K33,C3:C17,0),2),"Not Listed")</f>
        <v>Spice Villa</v>
      </c>
      <c r="O3" s="1" t="str">
        <f>IFERROR(INDEX($C$3:$E$17,MATCH(K3,$C$3:$C$17,0),3),"Not Found")</f>
        <v>West</v>
      </c>
    </row>
    <row r="4" spans="3:15" x14ac:dyDescent="0.3">
      <c r="C4" s="1" t="s">
        <v>9</v>
      </c>
      <c r="D4" s="1" t="s">
        <v>10</v>
      </c>
      <c r="E4" s="1" t="s">
        <v>11</v>
      </c>
      <c r="F4" s="1" t="s">
        <v>12</v>
      </c>
      <c r="G4" s="1">
        <v>4.2</v>
      </c>
      <c r="I4" s="1" t="s">
        <v>52</v>
      </c>
      <c r="J4" s="1" t="s">
        <v>53</v>
      </c>
      <c r="K4" s="1" t="s">
        <v>9</v>
      </c>
      <c r="L4" s="6">
        <v>46031</v>
      </c>
      <c r="M4" s="1">
        <v>620</v>
      </c>
      <c r="N4" s="1" t="str">
        <v>Pizza Hub</v>
      </c>
      <c r="O4" s="1" t="str">
        <f t="shared" ref="O4:O33" si="0">IFERROR(INDEX($C$3:$E$17,MATCH(K4,$C$3:$C$17,0),3),"Not Found")</f>
        <v>Central</v>
      </c>
    </row>
    <row r="5" spans="3:15" x14ac:dyDescent="0.3">
      <c r="C5" s="1" t="s">
        <v>13</v>
      </c>
      <c r="D5" s="1" t="s">
        <v>14</v>
      </c>
      <c r="E5" s="1" t="s">
        <v>15</v>
      </c>
      <c r="F5" s="1" t="s">
        <v>8</v>
      </c>
      <c r="G5" s="1">
        <v>4.5999999999999996</v>
      </c>
      <c r="I5" s="1" t="s">
        <v>54</v>
      </c>
      <c r="J5" s="1" t="s">
        <v>55</v>
      </c>
      <c r="K5" s="1" t="s">
        <v>13</v>
      </c>
      <c r="L5" s="6">
        <v>46062</v>
      </c>
      <c r="M5" s="1">
        <v>480</v>
      </c>
      <c r="N5" s="1" t="str">
        <v>Tandoori Treat</v>
      </c>
      <c r="O5" s="1" t="str">
        <f t="shared" si="0"/>
        <v>North</v>
      </c>
    </row>
    <row r="6" spans="3:15" x14ac:dyDescent="0.3">
      <c r="C6" s="1" t="s">
        <v>16</v>
      </c>
      <c r="D6" s="1" t="s">
        <v>17</v>
      </c>
      <c r="E6" s="1" t="s">
        <v>18</v>
      </c>
      <c r="F6" s="1" t="s">
        <v>12</v>
      </c>
      <c r="G6" s="1">
        <v>4.0999999999999996</v>
      </c>
      <c r="I6" s="1" t="s">
        <v>56</v>
      </c>
      <c r="J6" s="1" t="s">
        <v>57</v>
      </c>
      <c r="K6" s="1" t="s">
        <v>16</v>
      </c>
      <c r="L6" s="6">
        <v>46062</v>
      </c>
      <c r="M6" s="1">
        <v>720</v>
      </c>
      <c r="N6" s="1" t="str">
        <v>Burger Point</v>
      </c>
      <c r="O6" s="1" t="str">
        <f t="shared" si="0"/>
        <v>South</v>
      </c>
    </row>
    <row r="7" spans="3:15" x14ac:dyDescent="0.3">
      <c r="C7" s="1" t="s">
        <v>19</v>
      </c>
      <c r="D7" s="1" t="s">
        <v>20</v>
      </c>
      <c r="E7" s="1" t="s">
        <v>21</v>
      </c>
      <c r="F7" s="1" t="s">
        <v>22</v>
      </c>
      <c r="G7" s="1">
        <v>4.3</v>
      </c>
      <c r="I7" s="1" t="s">
        <v>58</v>
      </c>
      <c r="J7" s="1" t="s">
        <v>59</v>
      </c>
      <c r="K7" s="1" t="s">
        <v>19</v>
      </c>
      <c r="L7" s="6">
        <v>46090</v>
      </c>
      <c r="M7" s="1">
        <v>560</v>
      </c>
      <c r="N7" s="1" t="str">
        <v>Wok Express</v>
      </c>
      <c r="O7" s="1" t="str">
        <f t="shared" si="0"/>
        <v>East</v>
      </c>
    </row>
    <row r="8" spans="3:15" x14ac:dyDescent="0.3">
      <c r="C8" s="1" t="s">
        <v>23</v>
      </c>
      <c r="D8" s="1" t="s">
        <v>24</v>
      </c>
      <c r="E8" s="1" t="s">
        <v>7</v>
      </c>
      <c r="F8" s="1" t="s">
        <v>8</v>
      </c>
      <c r="G8" s="1">
        <v>4.7</v>
      </c>
      <c r="I8" s="1" t="s">
        <v>60</v>
      </c>
      <c r="J8" s="1" t="s">
        <v>61</v>
      </c>
      <c r="K8" s="1" t="s">
        <v>23</v>
      </c>
      <c r="L8" s="6">
        <v>46090</v>
      </c>
      <c r="M8" s="1">
        <v>450</v>
      </c>
      <c r="N8" s="1" t="str">
        <v>Curry House</v>
      </c>
      <c r="O8" s="1" t="str">
        <f t="shared" si="0"/>
        <v>West</v>
      </c>
    </row>
    <row r="9" spans="3:15" x14ac:dyDescent="0.3">
      <c r="C9" s="1" t="s">
        <v>25</v>
      </c>
      <c r="D9" s="1" t="s">
        <v>26</v>
      </c>
      <c r="E9" s="1" t="s">
        <v>11</v>
      </c>
      <c r="F9" s="1" t="s">
        <v>12</v>
      </c>
      <c r="G9" s="1">
        <v>4</v>
      </c>
      <c r="I9" s="1" t="s">
        <v>62</v>
      </c>
      <c r="J9" s="1" t="s">
        <v>63</v>
      </c>
      <c r="K9" s="1" t="s">
        <v>25</v>
      </c>
      <c r="L9" s="6">
        <v>46121</v>
      </c>
      <c r="M9" s="1">
        <v>910</v>
      </c>
      <c r="N9" s="1" t="str">
        <v>Fast Bite</v>
      </c>
      <c r="O9" s="1" t="str">
        <f t="shared" si="0"/>
        <v>Central</v>
      </c>
    </row>
    <row r="10" spans="3:15" x14ac:dyDescent="0.3">
      <c r="C10" s="1" t="s">
        <v>27</v>
      </c>
      <c r="D10" s="1" t="s">
        <v>28</v>
      </c>
      <c r="E10" s="1" t="s">
        <v>15</v>
      </c>
      <c r="F10" s="1" t="s">
        <v>22</v>
      </c>
      <c r="G10" s="1">
        <v>4.8</v>
      </c>
      <c r="I10" s="1" t="s">
        <v>64</v>
      </c>
      <c r="J10" s="1" t="s">
        <v>65</v>
      </c>
      <c r="K10" s="1" t="s">
        <v>27</v>
      </c>
      <c r="L10" s="6">
        <v>46121</v>
      </c>
      <c r="M10" s="1">
        <v>680</v>
      </c>
      <c r="N10" s="1" t="str">
        <v>Royal Biryani</v>
      </c>
      <c r="O10" s="1" t="str">
        <f t="shared" si="0"/>
        <v>North</v>
      </c>
    </row>
    <row r="11" spans="3:15" x14ac:dyDescent="0.3">
      <c r="C11" s="1" t="s">
        <v>29</v>
      </c>
      <c r="D11" s="1" t="s">
        <v>30</v>
      </c>
      <c r="E11" s="1" t="s">
        <v>18</v>
      </c>
      <c r="F11" s="1" t="s">
        <v>8</v>
      </c>
      <c r="G11" s="1">
        <v>4.4000000000000004</v>
      </c>
      <c r="I11" s="1" t="s">
        <v>66</v>
      </c>
      <c r="J11" s="1" t="s">
        <v>67</v>
      </c>
      <c r="K11" s="1" t="s">
        <v>29</v>
      </c>
      <c r="L11" s="6">
        <v>46151</v>
      </c>
      <c r="M11" s="1">
        <v>390</v>
      </c>
      <c r="N11" s="1" t="str">
        <v>Pasta Palace</v>
      </c>
      <c r="O11" s="1" t="str">
        <f t="shared" si="0"/>
        <v>South</v>
      </c>
    </row>
    <row r="12" spans="3:15" x14ac:dyDescent="0.3">
      <c r="C12" s="1" t="s">
        <v>31</v>
      </c>
      <c r="D12" s="1" t="s">
        <v>32</v>
      </c>
      <c r="E12" s="1" t="s">
        <v>21</v>
      </c>
      <c r="F12" s="1" t="s">
        <v>12</v>
      </c>
      <c r="G12" s="1">
        <v>4.2</v>
      </c>
      <c r="I12" s="1" t="s">
        <v>68</v>
      </c>
      <c r="J12" s="1" t="s">
        <v>69</v>
      </c>
      <c r="K12" s="1" t="s">
        <v>31</v>
      </c>
      <c r="L12" s="6">
        <v>46151</v>
      </c>
      <c r="M12" s="1">
        <v>750</v>
      </c>
      <c r="N12" s="1" t="str">
        <v>Chinese Wok</v>
      </c>
      <c r="O12" s="1" t="str">
        <f t="shared" si="0"/>
        <v>East</v>
      </c>
    </row>
    <row r="13" spans="3:15" x14ac:dyDescent="0.3">
      <c r="C13" s="1" t="s">
        <v>33</v>
      </c>
      <c r="D13" s="1" t="s">
        <v>34</v>
      </c>
      <c r="E13" s="1" t="s">
        <v>7</v>
      </c>
      <c r="F13" s="1" t="s">
        <v>22</v>
      </c>
      <c r="G13" s="1">
        <v>4.5999999999999996</v>
      </c>
      <c r="I13" s="1" t="s">
        <v>70</v>
      </c>
      <c r="J13" s="1" t="s">
        <v>71</v>
      </c>
      <c r="K13" s="1" t="s">
        <v>33</v>
      </c>
      <c r="L13" s="6">
        <v>46182</v>
      </c>
      <c r="M13" s="1">
        <v>590</v>
      </c>
      <c r="N13" s="1" t="str">
        <v>Urban Tadka</v>
      </c>
      <c r="O13" s="1" t="str">
        <f t="shared" si="0"/>
        <v>West</v>
      </c>
    </row>
    <row r="14" spans="3:15" x14ac:dyDescent="0.3">
      <c r="C14" s="1" t="s">
        <v>35</v>
      </c>
      <c r="D14" s="1" t="s">
        <v>36</v>
      </c>
      <c r="E14" s="1" t="s">
        <v>11</v>
      </c>
      <c r="F14" s="1" t="s">
        <v>8</v>
      </c>
      <c r="G14" s="1">
        <v>4.0999999999999996</v>
      </c>
      <c r="I14" s="1" t="s">
        <v>72</v>
      </c>
      <c r="J14" s="1" t="s">
        <v>73</v>
      </c>
      <c r="K14" s="1" t="s">
        <v>35</v>
      </c>
      <c r="L14" s="6">
        <v>46182</v>
      </c>
      <c r="M14" s="1">
        <v>640</v>
      </c>
      <c r="N14" s="1" t="str">
        <v>Food Junction</v>
      </c>
      <c r="O14" s="1" t="str">
        <f t="shared" si="0"/>
        <v>Central</v>
      </c>
    </row>
    <row r="15" spans="3:15" x14ac:dyDescent="0.3">
      <c r="C15" s="1" t="s">
        <v>37</v>
      </c>
      <c r="D15" s="1" t="s">
        <v>38</v>
      </c>
      <c r="E15" s="1" t="s">
        <v>15</v>
      </c>
      <c r="F15" s="1" t="s">
        <v>12</v>
      </c>
      <c r="G15" s="1">
        <v>4.5</v>
      </c>
      <c r="I15" s="1" t="s">
        <v>74</v>
      </c>
      <c r="J15" s="1" t="s">
        <v>75</v>
      </c>
      <c r="K15" s="1" t="s">
        <v>37</v>
      </c>
      <c r="L15" s="6">
        <v>46212</v>
      </c>
      <c r="M15" s="1">
        <v>840</v>
      </c>
      <c r="N15" s="1" t="str">
        <v>Grill Nation</v>
      </c>
      <c r="O15" s="1" t="str">
        <f t="shared" si="0"/>
        <v>North</v>
      </c>
    </row>
    <row r="16" spans="3:15" x14ac:dyDescent="0.3">
      <c r="C16" s="1" t="s">
        <v>39</v>
      </c>
      <c r="D16" s="1" t="s">
        <v>40</v>
      </c>
      <c r="E16" s="1" t="s">
        <v>18</v>
      </c>
      <c r="F16" s="1" t="s">
        <v>22</v>
      </c>
      <c r="G16" s="1">
        <v>4.7</v>
      </c>
      <c r="I16" s="1" t="s">
        <v>76</v>
      </c>
      <c r="J16" s="1" t="s">
        <v>77</v>
      </c>
      <c r="K16" s="1" t="s">
        <v>39</v>
      </c>
      <c r="L16" s="6">
        <v>46212</v>
      </c>
      <c r="M16" s="1">
        <v>430</v>
      </c>
      <c r="N16" s="1" t="str">
        <v>Healthy Bowl</v>
      </c>
      <c r="O16" s="1" t="str">
        <f t="shared" si="0"/>
        <v>South</v>
      </c>
    </row>
    <row r="17" spans="3:15" x14ac:dyDescent="0.3">
      <c r="C17" s="1" t="s">
        <v>41</v>
      </c>
      <c r="D17" s="1" t="s">
        <v>42</v>
      </c>
      <c r="E17" s="1" t="s">
        <v>21</v>
      </c>
      <c r="F17" s="1" t="s">
        <v>8</v>
      </c>
      <c r="G17" s="1">
        <v>4.3</v>
      </c>
      <c r="I17" s="1" t="s">
        <v>78</v>
      </c>
      <c r="J17" s="1" t="s">
        <v>79</v>
      </c>
      <c r="K17" s="1" t="s">
        <v>41</v>
      </c>
      <c r="L17" s="6">
        <v>46243</v>
      </c>
      <c r="M17" s="1">
        <v>610</v>
      </c>
      <c r="N17" s="1" t="str">
        <v>Masala Magic</v>
      </c>
      <c r="O17" s="1" t="str">
        <f t="shared" si="0"/>
        <v>East</v>
      </c>
    </row>
    <row r="18" spans="3:15" x14ac:dyDescent="0.3">
      <c r="I18" s="1" t="s">
        <v>80</v>
      </c>
      <c r="J18" s="1" t="s">
        <v>81</v>
      </c>
      <c r="K18" s="1" t="s">
        <v>5</v>
      </c>
      <c r="L18" s="6">
        <v>46243</v>
      </c>
      <c r="M18" s="1">
        <v>980</v>
      </c>
      <c r="N18" s="1" t="str">
        <v>Spice Villa</v>
      </c>
      <c r="O18" s="1" t="str">
        <f t="shared" si="0"/>
        <v>West</v>
      </c>
    </row>
    <row r="19" spans="3:15" x14ac:dyDescent="0.3">
      <c r="I19" s="1" t="s">
        <v>82</v>
      </c>
      <c r="J19" s="1" t="s">
        <v>83</v>
      </c>
      <c r="K19" s="1" t="s">
        <v>13</v>
      </c>
      <c r="L19" s="6">
        <v>46274</v>
      </c>
      <c r="M19" s="1">
        <v>520</v>
      </c>
      <c r="N19" s="1" t="str">
        <v>Tandoori Treat</v>
      </c>
      <c r="O19" s="1" t="str">
        <f t="shared" si="0"/>
        <v>North</v>
      </c>
    </row>
    <row r="20" spans="3:15" ht="21" x14ac:dyDescent="0.35">
      <c r="C20" s="7" t="s">
        <v>44</v>
      </c>
      <c r="D20" s="7"/>
      <c r="E20" s="5"/>
      <c r="F20" s="4" t="s">
        <v>43</v>
      </c>
      <c r="G20" s="4"/>
      <c r="I20" s="1" t="s">
        <v>84</v>
      </c>
      <c r="J20" s="1" t="s">
        <v>85</v>
      </c>
      <c r="K20" s="1" t="s">
        <v>23</v>
      </c>
      <c r="L20" s="6">
        <v>46274</v>
      </c>
      <c r="M20" s="1">
        <v>730</v>
      </c>
      <c r="N20" s="1" t="str">
        <v>Curry House</v>
      </c>
      <c r="O20" s="1" t="str">
        <f t="shared" si="0"/>
        <v>West</v>
      </c>
    </row>
    <row r="21" spans="3:15" x14ac:dyDescent="0.3">
      <c r="C21" s="8" t="s">
        <v>2</v>
      </c>
      <c r="D21" s="8" t="s">
        <v>45</v>
      </c>
      <c r="F21" s="2" t="s">
        <v>0</v>
      </c>
      <c r="G21" s="2" t="s">
        <v>1</v>
      </c>
      <c r="I21" s="1" t="s">
        <v>86</v>
      </c>
      <c r="J21" s="1" t="s">
        <v>87</v>
      </c>
      <c r="K21" s="1" t="s">
        <v>27</v>
      </c>
      <c r="L21" s="6">
        <v>46304</v>
      </c>
      <c r="M21" s="1">
        <v>575</v>
      </c>
      <c r="N21" s="1" t="str">
        <v>Royal Biryani</v>
      </c>
      <c r="O21" s="1" t="str">
        <f t="shared" si="0"/>
        <v>North</v>
      </c>
    </row>
    <row r="22" spans="3:15" x14ac:dyDescent="0.3">
      <c r="C22" s="3" t="str" cm="1">
        <f t="array" ref="C22:C26">_xlfn.UNIQUE(E3:E17,FALSE,FALSE)</f>
        <v>West</v>
      </c>
      <c r="D22" s="3">
        <f>AVERAGEIF($O$3:$O$33,C22,$M$3:$M$33)</f>
        <v>726.66666666666663</v>
      </c>
      <c r="F22" s="1" t="s">
        <v>13</v>
      </c>
      <c r="G22" s="3" t="str">
        <f>_xlfn.XLOOKUP(F22,$C$3:$C$17,$D$3:$D$17,"Not Listed")</f>
        <v>Tandoori Treat</v>
      </c>
      <c r="I22" s="1" t="s">
        <v>88</v>
      </c>
      <c r="J22" s="1" t="s">
        <v>89</v>
      </c>
      <c r="K22" s="1" t="s">
        <v>31</v>
      </c>
      <c r="L22" s="6">
        <v>46304</v>
      </c>
      <c r="M22" s="1">
        <v>460</v>
      </c>
      <c r="N22" s="1" t="str">
        <v>Chinese Wok</v>
      </c>
      <c r="O22" s="1" t="str">
        <f t="shared" si="0"/>
        <v>East</v>
      </c>
    </row>
    <row r="23" spans="3:15" x14ac:dyDescent="0.3">
      <c r="C23" s="3" t="str">
        <v>Central</v>
      </c>
      <c r="D23" s="3">
        <f t="shared" ref="D23:D26" si="1">AVERAGEIF($O$3:$O$33,C23,$M$3:$M$33)</f>
        <v>765</v>
      </c>
      <c r="F23" s="1" t="s">
        <v>25</v>
      </c>
      <c r="G23" s="3" t="str">
        <f t="shared" ref="G23:G36" si="2">_xlfn.XLOOKUP(F23,$C$3:$C$17,$D$3:$D$17,"Not Listed")</f>
        <v>Fast Bite</v>
      </c>
      <c r="I23" s="1" t="s">
        <v>90</v>
      </c>
      <c r="J23" s="1" t="s">
        <v>91</v>
      </c>
      <c r="K23" s="1" t="s">
        <v>35</v>
      </c>
      <c r="L23" s="6">
        <v>46335</v>
      </c>
      <c r="M23" s="1">
        <v>890</v>
      </c>
      <c r="N23" s="1" t="str">
        <v>Food Junction</v>
      </c>
      <c r="O23" s="1" t="str">
        <f t="shared" si="0"/>
        <v>Central</v>
      </c>
    </row>
    <row r="24" spans="3:15" x14ac:dyDescent="0.3">
      <c r="C24" s="3" t="str">
        <v>North</v>
      </c>
      <c r="D24" s="3">
        <f t="shared" si="1"/>
        <v>612.5</v>
      </c>
      <c r="F24" s="1" t="s">
        <v>31</v>
      </c>
      <c r="G24" s="3" t="str">
        <f t="shared" si="2"/>
        <v>Chinese Wok</v>
      </c>
      <c r="I24" s="1" t="s">
        <v>92</v>
      </c>
      <c r="J24" s="1" t="s">
        <v>93</v>
      </c>
      <c r="K24" s="1" t="s">
        <v>39</v>
      </c>
      <c r="L24" s="6">
        <v>46335</v>
      </c>
      <c r="M24" s="1">
        <v>640</v>
      </c>
      <c r="N24" s="1" t="str">
        <v>Healthy Bowl</v>
      </c>
      <c r="O24" s="1" t="str">
        <f t="shared" si="0"/>
        <v>South</v>
      </c>
    </row>
    <row r="25" spans="3:15" x14ac:dyDescent="0.3">
      <c r="C25" s="3" t="str">
        <v>South</v>
      </c>
      <c r="D25" s="3">
        <f t="shared" si="1"/>
        <v>543.33333333333337</v>
      </c>
      <c r="F25" s="3"/>
      <c r="G25" s="3" t="str">
        <f t="shared" si="2"/>
        <v>Not Listed</v>
      </c>
      <c r="I25" s="1" t="s">
        <v>94</v>
      </c>
      <c r="J25" s="1" t="s">
        <v>95</v>
      </c>
      <c r="K25" s="1" t="s">
        <v>19</v>
      </c>
      <c r="L25" s="6">
        <v>46365</v>
      </c>
      <c r="M25" s="1">
        <v>550</v>
      </c>
      <c r="N25" s="1" t="str">
        <v>Wok Express</v>
      </c>
      <c r="O25" s="1" t="str">
        <f t="shared" si="0"/>
        <v>East</v>
      </c>
    </row>
    <row r="26" spans="3:15" x14ac:dyDescent="0.3">
      <c r="C26" s="3" t="str">
        <v>East</v>
      </c>
      <c r="D26" s="3">
        <f t="shared" si="1"/>
        <v>570.83333333333337</v>
      </c>
      <c r="F26" s="3"/>
      <c r="G26" s="3" t="str">
        <f t="shared" si="2"/>
        <v>Not Listed</v>
      </c>
      <c r="I26" s="1" t="s">
        <v>96</v>
      </c>
      <c r="J26" s="1" t="s">
        <v>97</v>
      </c>
      <c r="K26" s="1" t="s">
        <v>25</v>
      </c>
      <c r="L26" s="6">
        <v>46365</v>
      </c>
      <c r="M26" s="1">
        <v>700</v>
      </c>
      <c r="N26" s="1" t="str">
        <v>Fast Bite</v>
      </c>
      <c r="O26" s="1" t="str">
        <f t="shared" si="0"/>
        <v>Central</v>
      </c>
    </row>
    <row r="27" spans="3:15" x14ac:dyDescent="0.3">
      <c r="F27" s="3"/>
      <c r="G27" s="3" t="str">
        <f t="shared" si="2"/>
        <v>Not Listed</v>
      </c>
      <c r="I27" s="1" t="s">
        <v>98</v>
      </c>
      <c r="J27" s="1" t="s">
        <v>99</v>
      </c>
      <c r="K27" s="1" t="s">
        <v>29</v>
      </c>
      <c r="L27" s="1" t="s">
        <v>100</v>
      </c>
      <c r="M27" s="1">
        <v>410</v>
      </c>
      <c r="N27" s="1" t="str">
        <v>Pasta Palace</v>
      </c>
      <c r="O27" s="1" t="str">
        <f t="shared" si="0"/>
        <v>South</v>
      </c>
    </row>
    <row r="28" spans="3:15" x14ac:dyDescent="0.3">
      <c r="F28" s="3"/>
      <c r="G28" s="3" t="str">
        <f t="shared" si="2"/>
        <v>Not Listed</v>
      </c>
      <c r="I28" s="1" t="s">
        <v>101</v>
      </c>
      <c r="J28" s="1" t="s">
        <v>102</v>
      </c>
      <c r="K28" s="1" t="s">
        <v>33</v>
      </c>
      <c r="L28" s="1" t="s">
        <v>100</v>
      </c>
      <c r="M28" s="1">
        <v>760</v>
      </c>
      <c r="N28" s="1" t="str">
        <v>Urban Tadka</v>
      </c>
      <c r="O28" s="1" t="str">
        <f t="shared" si="0"/>
        <v>West</v>
      </c>
    </row>
    <row r="29" spans="3:15" x14ac:dyDescent="0.3">
      <c r="F29" s="3"/>
      <c r="G29" s="3" t="str">
        <f t="shared" si="2"/>
        <v>Not Listed</v>
      </c>
      <c r="I29" s="1" t="s">
        <v>103</v>
      </c>
      <c r="J29" s="1" t="s">
        <v>104</v>
      </c>
      <c r="K29" s="1" t="s">
        <v>37</v>
      </c>
      <c r="L29" s="1" t="s">
        <v>105</v>
      </c>
      <c r="M29" s="1">
        <v>580</v>
      </c>
      <c r="N29" s="1" t="str">
        <v>Grill Nation</v>
      </c>
      <c r="O29" s="1" t="str">
        <f t="shared" si="0"/>
        <v>North</v>
      </c>
    </row>
    <row r="30" spans="3:15" x14ac:dyDescent="0.3">
      <c r="F30" s="3"/>
      <c r="G30" s="3" t="str">
        <f t="shared" si="2"/>
        <v>Not Listed</v>
      </c>
      <c r="I30" s="1" t="s">
        <v>106</v>
      </c>
      <c r="J30" s="1" t="s">
        <v>107</v>
      </c>
      <c r="K30" s="1" t="s">
        <v>41</v>
      </c>
      <c r="L30" s="1" t="s">
        <v>105</v>
      </c>
      <c r="M30" s="1">
        <v>495</v>
      </c>
      <c r="N30" s="1" t="str">
        <v>Masala Magic</v>
      </c>
      <c r="O30" s="1" t="str">
        <f t="shared" si="0"/>
        <v>East</v>
      </c>
    </row>
    <row r="31" spans="3:15" x14ac:dyDescent="0.3">
      <c r="F31" s="3"/>
      <c r="G31" s="3" t="str">
        <f t="shared" si="2"/>
        <v>Not Listed</v>
      </c>
      <c r="I31" s="1" t="s">
        <v>108</v>
      </c>
      <c r="J31" s="1" t="s">
        <v>109</v>
      </c>
      <c r="K31" s="1" t="s">
        <v>9</v>
      </c>
      <c r="L31" s="1" t="s">
        <v>110</v>
      </c>
      <c r="M31" s="1">
        <v>830</v>
      </c>
      <c r="N31" s="1" t="str">
        <v>Pizza Hub</v>
      </c>
      <c r="O31" s="1" t="str">
        <f t="shared" si="0"/>
        <v>Central</v>
      </c>
    </row>
    <row r="32" spans="3:15" x14ac:dyDescent="0.3">
      <c r="F32" s="3"/>
      <c r="G32" s="3" t="str">
        <f t="shared" si="2"/>
        <v>Not Listed</v>
      </c>
      <c r="I32" s="1" t="s">
        <v>111</v>
      </c>
      <c r="J32" s="1" t="s">
        <v>112</v>
      </c>
      <c r="K32" s="1" t="s">
        <v>16</v>
      </c>
      <c r="L32" s="1" t="s">
        <v>110</v>
      </c>
      <c r="M32" s="1">
        <v>670</v>
      </c>
      <c r="N32" s="1" t="str">
        <v>Burger Point</v>
      </c>
      <c r="O32" s="1" t="str">
        <f t="shared" si="0"/>
        <v>South</v>
      </c>
    </row>
    <row r="33" spans="6:15" x14ac:dyDescent="0.3">
      <c r="F33" s="3"/>
      <c r="G33" s="3" t="str">
        <f t="shared" si="2"/>
        <v>Not Listed</v>
      </c>
      <c r="I33" s="1" t="s">
        <v>113</v>
      </c>
      <c r="J33" s="1" t="s">
        <v>114</v>
      </c>
      <c r="K33" s="1" t="s">
        <v>115</v>
      </c>
      <c r="L33" s="1" t="s">
        <v>116</v>
      </c>
      <c r="M33" s="1">
        <v>720</v>
      </c>
      <c r="N33" s="1" t="str">
        <v>Not Listed</v>
      </c>
      <c r="O33" s="1" t="str">
        <f t="shared" si="0"/>
        <v>Not Found</v>
      </c>
    </row>
    <row r="34" spans="6:15" x14ac:dyDescent="0.3">
      <c r="F34" s="3"/>
      <c r="G34" s="3" t="str">
        <f t="shared" si="2"/>
        <v>Not Listed</v>
      </c>
    </row>
    <row r="35" spans="6:15" x14ac:dyDescent="0.3">
      <c r="F35" s="3"/>
      <c r="G35" s="3" t="str">
        <f t="shared" si="2"/>
        <v>Not Listed</v>
      </c>
    </row>
    <row r="36" spans="6:15" x14ac:dyDescent="0.3">
      <c r="F36" s="3"/>
      <c r="G36" s="3" t="str">
        <f t="shared" si="2"/>
        <v>Not Listed</v>
      </c>
    </row>
  </sheetData>
  <mergeCells count="2">
    <mergeCell ref="F20:G20"/>
    <mergeCell ref="C20:D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vekariya hitesh</dc:creator>
  <cp:lastModifiedBy>vekariya hitesh</cp:lastModifiedBy>
  <dcterms:created xsi:type="dcterms:W3CDTF">2026-09-20T14:51:48Z</dcterms:created>
  <dcterms:modified xsi:type="dcterms:W3CDTF">2026-09-20T16:30:00Z</dcterms:modified>
</cp:coreProperties>
</file>