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ESSMENT\SECTION_B_ASSESSMENT\TASKS_04\"/>
    </mc:Choice>
  </mc:AlternateContent>
  <xr:revisionPtr revIDLastSave="0" documentId="13_ncr:1_{B9A1BCE2-CCF1-4F05-A156-E890B7794A28}" xr6:coauthVersionLast="47" xr6:coauthVersionMax="47" xr10:uidLastSave="{00000000-0000-0000-0000-000000000000}"/>
  <bookViews>
    <workbookView xWindow="-108" yWindow="-108" windowWidth="23256" windowHeight="12576" xr2:uid="{57114F01-B6F1-4FC4-93E9-F4459AC1BF07}"/>
  </bookViews>
  <sheets>
    <sheet name="Orders" sheetId="1" r:id="rId1"/>
    <sheet name="Stats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10" i="2"/>
  <c r="B9" i="2"/>
  <c r="B8" i="2"/>
  <c r="B7" i="2"/>
  <c r="B6" i="2"/>
  <c r="B5" i="2"/>
  <c r="B3" i="2"/>
  <c r="B2" i="2"/>
  <c r="B11" i="2" l="1"/>
  <c r="B12" i="2" s="1"/>
  <c r="B13" i="2" l="1"/>
  <c r="I4" i="1" l="1"/>
  <c r="I8" i="1"/>
  <c r="I12" i="1"/>
  <c r="I16" i="1"/>
  <c r="I20" i="1"/>
  <c r="I5" i="1"/>
  <c r="I9" i="1"/>
  <c r="I13" i="1"/>
  <c r="I17" i="1"/>
  <c r="I21" i="1"/>
  <c r="I2" i="1"/>
  <c r="I6" i="1"/>
  <c r="I10" i="1"/>
  <c r="I14" i="1"/>
  <c r="I18" i="1"/>
  <c r="I3" i="1"/>
  <c r="I7" i="1"/>
  <c r="I11" i="1"/>
  <c r="I15" i="1"/>
  <c r="I19" i="1"/>
</calcChain>
</file>

<file path=xl/sharedStrings.xml><?xml version="1.0" encoding="utf-8"?>
<sst xmlns="http://schemas.openxmlformats.org/spreadsheetml/2006/main" count="103" uniqueCount="73">
  <si>
    <t>OrderID</t>
  </si>
  <si>
    <t>CustomerID</t>
  </si>
  <si>
    <t>RestaurantID</t>
  </si>
  <si>
    <t>Cuisine</t>
  </si>
  <si>
    <t>OrderDate</t>
  </si>
  <si>
    <t>DeliveryTime</t>
  </si>
  <si>
    <t>Rating</t>
  </si>
  <si>
    <t>Revenue</t>
  </si>
  <si>
    <t>O001</t>
  </si>
  <si>
    <t>C101</t>
  </si>
  <si>
    <t>R001</t>
  </si>
  <si>
    <t>Indian</t>
  </si>
  <si>
    <t>O002</t>
  </si>
  <si>
    <t>C102</t>
  </si>
  <si>
    <t>R002</t>
  </si>
  <si>
    <t>Pizza</t>
  </si>
  <si>
    <t>O003</t>
  </si>
  <si>
    <t>C103</t>
  </si>
  <si>
    <t>R003</t>
  </si>
  <si>
    <t>Chinese</t>
  </si>
  <si>
    <t>O004</t>
  </si>
  <si>
    <t>C104</t>
  </si>
  <si>
    <t>O005</t>
  </si>
  <si>
    <t>C105</t>
  </si>
  <si>
    <t>R004</t>
  </si>
  <si>
    <t>Burger</t>
  </si>
  <si>
    <t>O006</t>
  </si>
  <si>
    <t>C106</t>
  </si>
  <si>
    <t>R005</t>
  </si>
  <si>
    <t>Mexican</t>
  </si>
  <si>
    <t>O007</t>
  </si>
  <si>
    <t>C107</t>
  </si>
  <si>
    <t>O008</t>
  </si>
  <si>
    <t>C108</t>
  </si>
  <si>
    <t>O009</t>
  </si>
  <si>
    <t>C109</t>
  </si>
  <si>
    <t>O010</t>
  </si>
  <si>
    <t>C110</t>
  </si>
  <si>
    <t>O011</t>
  </si>
  <si>
    <t>C111</t>
  </si>
  <si>
    <t>O012</t>
  </si>
  <si>
    <t>C112</t>
  </si>
  <si>
    <t>O013</t>
  </si>
  <si>
    <t>C113</t>
  </si>
  <si>
    <t>O014</t>
  </si>
  <si>
    <t>C114</t>
  </si>
  <si>
    <t>O015</t>
  </si>
  <si>
    <t>C115</t>
  </si>
  <si>
    <t>O016</t>
  </si>
  <si>
    <t>C116</t>
  </si>
  <si>
    <t>O017</t>
  </si>
  <si>
    <t>C117</t>
  </si>
  <si>
    <t>O018</t>
  </si>
  <si>
    <t>C118</t>
  </si>
  <si>
    <t>O019</t>
  </si>
  <si>
    <t>C119</t>
  </si>
  <si>
    <t>O020</t>
  </si>
  <si>
    <t>C120</t>
  </si>
  <si>
    <t>Mean</t>
  </si>
  <si>
    <t>Median</t>
  </si>
  <si>
    <t>Mode</t>
  </si>
  <si>
    <t>Standard Deviation</t>
  </si>
  <si>
    <t>Variance</t>
  </si>
  <si>
    <t>Minimum</t>
  </si>
  <si>
    <t>Maximum</t>
  </si>
  <si>
    <t>25th Percentile</t>
  </si>
  <si>
    <t>75th Percentile</t>
  </si>
  <si>
    <t>Data</t>
  </si>
  <si>
    <t>Delivery Performance Statistics</t>
  </si>
  <si>
    <t>IQR</t>
  </si>
  <si>
    <t>Lower Bound</t>
  </si>
  <si>
    <t>Upper Bound</t>
  </si>
  <si>
    <t>Outlier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</si>
</sst>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20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4188B-F47D-4D66-A66D-D6D9CE992C79}" name="Table1" displayName="Table1" ref="A1:I21" totalsRowShown="0" headerRowDxfId="19" dataDxfId="17" headerRowBorderDxfId="18" tableBorderDxfId="16" totalsRowBorderDxfId="15">
  <autoFilter ref="A1:I21" xr:uid="{3674188B-F47D-4D66-A66D-D6D9CE992C79}"/>
  <tableColumns count="9">
    <tableColumn id="1" xr3:uid="{80EF461B-AC89-4516-91F6-60E4F7B05266}" name="OrderID" dataDxfId="14"/>
    <tableColumn id="2" xr3:uid="{F0E873D9-7B58-4FDE-9DEF-E655F4FD96D3}" name="CustomerID" dataDxfId="13"/>
    <tableColumn id="3" xr3:uid="{177639CD-048C-4C54-96C8-1845A120D20F}" name="RestaurantID" dataDxfId="12"/>
    <tableColumn id="4" xr3:uid="{C43E9860-57B7-4B4D-929D-00FB756047AA}" name="Cuisine" dataDxfId="11"/>
    <tableColumn id="5" xr3:uid="{0CC43487-0CBB-4C9C-84E1-FC3BCFF0F3FD}" name="OrderDate" dataDxfId="10"/>
    <tableColumn id="6" xr3:uid="{AC3FF581-0CCB-47B2-BF4C-0434CBE43807}" name="DeliveryTime" dataDxfId="9"/>
    <tableColumn id="7" xr3:uid="{11B61E7C-A8C1-41AA-88A8-2D95D56B790A}" name="Rating" dataDxfId="8"/>
    <tableColumn id="8" xr3:uid="{80A1A5E9-0FF8-48E8-9BC4-97AC16707BEF}" name="Revenue" dataDxfId="7"/>
    <tableColumn id="9" xr3:uid="{9379DF77-4593-49B8-BF98-27BEE72F5E0B}" name="Outlier Flag" dataDxfId="0">
      <calculatedColumnFormula>IF(OR(Table1[[#This Row],[DeliveryTime]]&gt;'Stats Summary'!$B$13,Table1[[#This Row],[DeliveryTime]]&lt;'Stats Summary'!$B$12),"Yes","No")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5D48CA-D8BC-4085-BB74-FF5E53965B5B}" name="Table2" displayName="Table2" ref="A1:B13" totalsRowShown="0" headerRowDxfId="6" headerRowBorderDxfId="5" tableBorderDxfId="4" totalsRowBorderDxfId="3">
  <autoFilter ref="A1:B13" xr:uid="{085D48CA-D8BC-4085-BB74-FF5E53965B5B}"/>
  <tableColumns count="2">
    <tableColumn id="1" xr3:uid="{CC146BDC-6271-4BF9-B86C-2341DD348083}" name="Delivery Performance Statistics" dataDxfId="2"/>
    <tableColumn id="2" xr3:uid="{CC5DA449-9764-43E4-9DED-17437EE011CA}" name="Dat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559E-19CC-4AEC-9BF5-823D9AD99DE0}">
  <dimension ref="A1:I21"/>
  <sheetViews>
    <sheetView tabSelected="1" workbookViewId="0">
      <selection activeCell="H15" sqref="H15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16.33203125" bestFit="1" customWidth="1"/>
    <col min="4" max="4" width="11.44140625" bestFit="1" customWidth="1"/>
    <col min="5" max="5" width="14.109375" bestFit="1" customWidth="1"/>
    <col min="6" max="6" width="16.33203125" bestFit="1" customWidth="1"/>
    <col min="7" max="7" width="10.77734375" bestFit="1" customWidth="1"/>
    <col min="8" max="8" width="12.77734375" bestFit="1" customWidth="1"/>
    <col min="9" max="9" width="14.88671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72</v>
      </c>
    </row>
    <row r="2" spans="1:9" x14ac:dyDescent="0.3">
      <c r="A2" s="4" t="s">
        <v>8</v>
      </c>
      <c r="B2" s="5" t="s">
        <v>9</v>
      </c>
      <c r="C2" s="5" t="s">
        <v>10</v>
      </c>
      <c r="D2" s="5" t="s">
        <v>11</v>
      </c>
      <c r="E2" s="6">
        <v>46029</v>
      </c>
      <c r="F2" s="5">
        <v>28</v>
      </c>
      <c r="G2" s="5">
        <v>5</v>
      </c>
      <c r="H2" s="7">
        <v>450</v>
      </c>
      <c r="I2" s="14" t="str">
        <f>IF(OR(Table1[[#This Row],[DeliveryTime]]&gt;'Stats Summary'!$B$13,Table1[[#This Row],[DeliveryTime]]&lt;'Stats Summary'!$B$12),"Yes","No")</f>
        <v>No</v>
      </c>
    </row>
    <row r="3" spans="1:9" x14ac:dyDescent="0.3">
      <c r="A3" s="4" t="s">
        <v>12</v>
      </c>
      <c r="B3" s="5" t="s">
        <v>13</v>
      </c>
      <c r="C3" s="5" t="s">
        <v>14</v>
      </c>
      <c r="D3" s="5" t="s">
        <v>15</v>
      </c>
      <c r="E3" s="6">
        <v>46029</v>
      </c>
      <c r="F3" s="5">
        <v>35</v>
      </c>
      <c r="G3" s="5">
        <v>4</v>
      </c>
      <c r="H3" s="7">
        <v>620</v>
      </c>
      <c r="I3" s="5" t="str">
        <f>IF(OR(Table1[[#This Row],[DeliveryTime]]&gt;'Stats Summary'!$B$13,Table1[[#This Row],[DeliveryTime]]&lt;'Stats Summary'!$B$12),"Yes","No")</f>
        <v>No</v>
      </c>
    </row>
    <row r="4" spans="1:9" x14ac:dyDescent="0.3">
      <c r="A4" s="4" t="s">
        <v>16</v>
      </c>
      <c r="B4" s="5" t="s">
        <v>17</v>
      </c>
      <c r="C4" s="5" t="s">
        <v>18</v>
      </c>
      <c r="D4" s="5" t="s">
        <v>19</v>
      </c>
      <c r="E4" s="6">
        <v>46060</v>
      </c>
      <c r="F4" s="5">
        <v>42</v>
      </c>
      <c r="G4" s="5">
        <v>3</v>
      </c>
      <c r="H4" s="7">
        <v>780</v>
      </c>
      <c r="I4" s="5" t="str">
        <f>IF(OR(Table1[[#This Row],[DeliveryTime]]&gt;'Stats Summary'!$B$13,Table1[[#This Row],[DeliveryTime]]&lt;'Stats Summary'!$B$12),"Yes","No")</f>
        <v>No</v>
      </c>
    </row>
    <row r="5" spans="1:9" x14ac:dyDescent="0.3">
      <c r="A5" s="4" t="s">
        <v>20</v>
      </c>
      <c r="B5" s="5" t="s">
        <v>21</v>
      </c>
      <c r="C5" s="5" t="s">
        <v>10</v>
      </c>
      <c r="D5" s="5" t="s">
        <v>11</v>
      </c>
      <c r="E5" s="6">
        <v>46060</v>
      </c>
      <c r="F5" s="5">
        <v>25</v>
      </c>
      <c r="G5" s="5">
        <v>5</v>
      </c>
      <c r="H5" s="7">
        <v>520</v>
      </c>
      <c r="I5" s="5" t="str">
        <f>IF(OR(Table1[[#This Row],[DeliveryTime]]&gt;'Stats Summary'!$B$13,Table1[[#This Row],[DeliveryTime]]&lt;'Stats Summary'!$B$12),"Yes","No")</f>
        <v>No</v>
      </c>
    </row>
    <row r="6" spans="1:9" x14ac:dyDescent="0.3">
      <c r="A6" s="4" t="s">
        <v>22</v>
      </c>
      <c r="B6" s="5" t="s">
        <v>23</v>
      </c>
      <c r="C6" s="5" t="s">
        <v>24</v>
      </c>
      <c r="D6" s="5" t="s">
        <v>25</v>
      </c>
      <c r="E6" s="6">
        <v>46088</v>
      </c>
      <c r="F6" s="5">
        <v>55</v>
      </c>
      <c r="G6" s="5">
        <v>2</v>
      </c>
      <c r="H6" s="7">
        <v>850</v>
      </c>
      <c r="I6" s="5" t="str">
        <f>IF(OR(Table1[[#This Row],[DeliveryTime]]&gt;'Stats Summary'!$B$13,Table1[[#This Row],[DeliveryTime]]&lt;'Stats Summary'!$B$12),"Yes","No")</f>
        <v>No</v>
      </c>
    </row>
    <row r="7" spans="1:9" x14ac:dyDescent="0.3">
      <c r="A7" s="4" t="s">
        <v>26</v>
      </c>
      <c r="B7" s="5" t="s">
        <v>27</v>
      </c>
      <c r="C7" s="5" t="s">
        <v>28</v>
      </c>
      <c r="D7" s="5" t="s">
        <v>29</v>
      </c>
      <c r="E7" s="6">
        <v>46088</v>
      </c>
      <c r="F7" s="5">
        <v>35</v>
      </c>
      <c r="G7" s="5">
        <v>4</v>
      </c>
      <c r="H7" s="7">
        <v>410</v>
      </c>
      <c r="I7" s="5" t="str">
        <f>IF(OR(Table1[[#This Row],[DeliveryTime]]&gt;'Stats Summary'!$B$13,Table1[[#This Row],[DeliveryTime]]&lt;'Stats Summary'!$B$12),"Yes","No")</f>
        <v>No</v>
      </c>
    </row>
    <row r="8" spans="1:9" x14ac:dyDescent="0.3">
      <c r="A8" s="4" t="s">
        <v>30</v>
      </c>
      <c r="B8" s="5" t="s">
        <v>31</v>
      </c>
      <c r="C8" s="5" t="s">
        <v>14</v>
      </c>
      <c r="D8" s="5" t="s">
        <v>15</v>
      </c>
      <c r="E8" s="6">
        <v>46119</v>
      </c>
      <c r="F8" s="5">
        <v>38</v>
      </c>
      <c r="G8" s="5">
        <v>4</v>
      </c>
      <c r="H8" s="7">
        <v>690</v>
      </c>
      <c r="I8" s="5" t="str">
        <f>IF(OR(Table1[[#This Row],[DeliveryTime]]&gt;'Stats Summary'!$B$13,Table1[[#This Row],[DeliveryTime]]&lt;'Stats Summary'!$B$12),"Yes","No")</f>
        <v>No</v>
      </c>
    </row>
    <row r="9" spans="1:9" x14ac:dyDescent="0.3">
      <c r="A9" s="4" t="s">
        <v>32</v>
      </c>
      <c r="B9" s="5" t="s">
        <v>33</v>
      </c>
      <c r="C9" s="5" t="s">
        <v>18</v>
      </c>
      <c r="D9" s="5" t="s">
        <v>19</v>
      </c>
      <c r="E9" s="6">
        <v>46119</v>
      </c>
      <c r="F9" s="5">
        <v>29</v>
      </c>
      <c r="G9" s="5">
        <v>5</v>
      </c>
      <c r="H9" s="7">
        <v>550</v>
      </c>
      <c r="I9" s="5" t="str">
        <f>IF(OR(Table1[[#This Row],[DeliveryTime]]&gt;'Stats Summary'!$B$13,Table1[[#This Row],[DeliveryTime]]&lt;'Stats Summary'!$B$12),"Yes","No")</f>
        <v>No</v>
      </c>
    </row>
    <row r="10" spans="1:9" x14ac:dyDescent="0.3">
      <c r="A10" s="4" t="s">
        <v>34</v>
      </c>
      <c r="B10" s="5" t="s">
        <v>35</v>
      </c>
      <c r="C10" s="5" t="s">
        <v>24</v>
      </c>
      <c r="D10" s="5" t="s">
        <v>25</v>
      </c>
      <c r="E10" s="6">
        <v>46149</v>
      </c>
      <c r="F10" s="5">
        <v>47</v>
      </c>
      <c r="G10" s="5">
        <v>3</v>
      </c>
      <c r="H10" s="7">
        <v>720</v>
      </c>
      <c r="I10" s="5" t="str">
        <f>IF(OR(Table1[[#This Row],[DeliveryTime]]&gt;'Stats Summary'!$B$13,Table1[[#This Row],[DeliveryTime]]&lt;'Stats Summary'!$B$12),"Yes","No")</f>
        <v>No</v>
      </c>
    </row>
    <row r="11" spans="1:9" x14ac:dyDescent="0.3">
      <c r="A11" s="4" t="s">
        <v>36</v>
      </c>
      <c r="B11" s="5" t="s">
        <v>37</v>
      </c>
      <c r="C11" s="5" t="s">
        <v>28</v>
      </c>
      <c r="D11" s="5" t="s">
        <v>29</v>
      </c>
      <c r="E11" s="6">
        <v>46149</v>
      </c>
      <c r="F11" s="5">
        <v>75</v>
      </c>
      <c r="G11" s="5">
        <v>4</v>
      </c>
      <c r="H11" s="7">
        <v>480</v>
      </c>
      <c r="I11" s="5" t="str">
        <f>IF(OR(Table1[[#This Row],[DeliveryTime]]&gt;'Stats Summary'!$B$13,Table1[[#This Row],[DeliveryTime]]&lt;'Stats Summary'!$B$12),"Yes","No")</f>
        <v>Yes</v>
      </c>
    </row>
    <row r="12" spans="1:9" x14ac:dyDescent="0.3">
      <c r="A12" s="4" t="s">
        <v>38</v>
      </c>
      <c r="B12" s="5" t="s">
        <v>39</v>
      </c>
      <c r="C12" s="5" t="s">
        <v>10</v>
      </c>
      <c r="D12" s="5" t="s">
        <v>11</v>
      </c>
      <c r="E12" s="6">
        <v>46180</v>
      </c>
      <c r="F12" s="5">
        <v>27</v>
      </c>
      <c r="G12" s="5">
        <v>5</v>
      </c>
      <c r="H12" s="7">
        <v>610</v>
      </c>
      <c r="I12" s="5" t="str">
        <f>IF(OR(Table1[[#This Row],[DeliveryTime]]&gt;'Stats Summary'!$B$13,Table1[[#This Row],[DeliveryTime]]&lt;'Stats Summary'!$B$12),"Yes","No")</f>
        <v>No</v>
      </c>
    </row>
    <row r="13" spans="1:9" x14ac:dyDescent="0.3">
      <c r="A13" s="4" t="s">
        <v>40</v>
      </c>
      <c r="B13" s="5" t="s">
        <v>41</v>
      </c>
      <c r="C13" s="5" t="s">
        <v>14</v>
      </c>
      <c r="D13" s="5" t="s">
        <v>15</v>
      </c>
      <c r="E13" s="6">
        <v>46180</v>
      </c>
      <c r="F13" s="5">
        <v>40</v>
      </c>
      <c r="G13" s="5">
        <v>3</v>
      </c>
      <c r="H13" s="7">
        <v>760</v>
      </c>
      <c r="I13" s="5" t="str">
        <f>IF(OR(Table1[[#This Row],[DeliveryTime]]&gt;'Stats Summary'!$B$13,Table1[[#This Row],[DeliveryTime]]&lt;'Stats Summary'!$B$12),"Yes","No")</f>
        <v>No</v>
      </c>
    </row>
    <row r="14" spans="1:9" x14ac:dyDescent="0.3">
      <c r="A14" s="4" t="s">
        <v>42</v>
      </c>
      <c r="B14" s="5" t="s">
        <v>43</v>
      </c>
      <c r="C14" s="5" t="s">
        <v>18</v>
      </c>
      <c r="D14" s="5" t="s">
        <v>19</v>
      </c>
      <c r="E14" s="6">
        <v>46210</v>
      </c>
      <c r="F14" s="5">
        <v>36</v>
      </c>
      <c r="G14" s="5">
        <v>4</v>
      </c>
      <c r="H14" s="7">
        <v>580</v>
      </c>
      <c r="I14" s="5" t="str">
        <f>IF(OR(Table1[[#This Row],[DeliveryTime]]&gt;'Stats Summary'!$B$13,Table1[[#This Row],[DeliveryTime]]&lt;'Stats Summary'!$B$12),"Yes","No")</f>
        <v>No</v>
      </c>
    </row>
    <row r="15" spans="1:9" x14ac:dyDescent="0.3">
      <c r="A15" s="4" t="s">
        <v>44</v>
      </c>
      <c r="B15" s="5" t="s">
        <v>45</v>
      </c>
      <c r="C15" s="5" t="s">
        <v>24</v>
      </c>
      <c r="D15" s="5" t="s">
        <v>25</v>
      </c>
      <c r="E15" s="6">
        <v>46210</v>
      </c>
      <c r="F15" s="5">
        <v>52</v>
      </c>
      <c r="G15" s="5">
        <v>2</v>
      </c>
      <c r="H15" s="7">
        <v>900</v>
      </c>
      <c r="I15" s="5" t="str">
        <f>IF(OR(Table1[[#This Row],[DeliveryTime]]&gt;'Stats Summary'!$B$13,Table1[[#This Row],[DeliveryTime]]&lt;'Stats Summary'!$B$12),"Yes","No")</f>
        <v>No</v>
      </c>
    </row>
    <row r="16" spans="1:9" x14ac:dyDescent="0.3">
      <c r="A16" s="4" t="s">
        <v>46</v>
      </c>
      <c r="B16" s="5" t="s">
        <v>47</v>
      </c>
      <c r="C16" s="5" t="s">
        <v>28</v>
      </c>
      <c r="D16" s="5" t="s">
        <v>29</v>
      </c>
      <c r="E16" s="6">
        <v>46241</v>
      </c>
      <c r="F16" s="5">
        <v>30</v>
      </c>
      <c r="G16" s="5">
        <v>5</v>
      </c>
      <c r="H16" s="7">
        <v>430</v>
      </c>
      <c r="I16" s="5" t="str">
        <f>IF(OR(Table1[[#This Row],[DeliveryTime]]&gt;'Stats Summary'!$B$13,Table1[[#This Row],[DeliveryTime]]&lt;'Stats Summary'!$B$12),"Yes","No")</f>
        <v>No</v>
      </c>
    </row>
    <row r="17" spans="1:9" x14ac:dyDescent="0.3">
      <c r="A17" s="4" t="s">
        <v>48</v>
      </c>
      <c r="B17" s="5" t="s">
        <v>49</v>
      </c>
      <c r="C17" s="5" t="s">
        <v>10</v>
      </c>
      <c r="D17" s="5" t="s">
        <v>11</v>
      </c>
      <c r="E17" s="6">
        <v>46241</v>
      </c>
      <c r="F17" s="5">
        <v>70</v>
      </c>
      <c r="G17" s="5">
        <v>5</v>
      </c>
      <c r="H17" s="7">
        <v>500</v>
      </c>
      <c r="I17" s="5" t="str">
        <f>IF(OR(Table1[[#This Row],[DeliveryTime]]&gt;'Stats Summary'!$B$13,Table1[[#This Row],[DeliveryTime]]&lt;'Stats Summary'!$B$12),"Yes","No")</f>
        <v>Yes</v>
      </c>
    </row>
    <row r="18" spans="1:9" x14ac:dyDescent="0.3">
      <c r="A18" s="4" t="s">
        <v>50</v>
      </c>
      <c r="B18" s="5" t="s">
        <v>51</v>
      </c>
      <c r="C18" s="5" t="s">
        <v>14</v>
      </c>
      <c r="D18" s="5" t="s">
        <v>15</v>
      </c>
      <c r="E18" s="6">
        <v>46272</v>
      </c>
      <c r="F18" s="5">
        <v>45</v>
      </c>
      <c r="G18" s="5">
        <v>3</v>
      </c>
      <c r="H18" s="7">
        <v>710</v>
      </c>
      <c r="I18" s="5" t="str">
        <f>IF(OR(Table1[[#This Row],[DeliveryTime]]&gt;'Stats Summary'!$B$13,Table1[[#This Row],[DeliveryTime]]&lt;'Stats Summary'!$B$12),"Yes","No")</f>
        <v>No</v>
      </c>
    </row>
    <row r="19" spans="1:9" x14ac:dyDescent="0.3">
      <c r="A19" s="4" t="s">
        <v>52</v>
      </c>
      <c r="B19" s="5" t="s">
        <v>53</v>
      </c>
      <c r="C19" s="5" t="s">
        <v>18</v>
      </c>
      <c r="D19" s="5" t="s">
        <v>19</v>
      </c>
      <c r="E19" s="6">
        <v>46272</v>
      </c>
      <c r="F19" s="5">
        <v>34</v>
      </c>
      <c r="G19" s="5">
        <v>4</v>
      </c>
      <c r="H19" s="7">
        <v>640</v>
      </c>
      <c r="I19" s="5" t="str">
        <f>IF(OR(Table1[[#This Row],[DeliveryTime]]&gt;'Stats Summary'!$B$13,Table1[[#This Row],[DeliveryTime]]&lt;'Stats Summary'!$B$12),"Yes","No")</f>
        <v>No</v>
      </c>
    </row>
    <row r="20" spans="1:9" x14ac:dyDescent="0.3">
      <c r="A20" s="4" t="s">
        <v>54</v>
      </c>
      <c r="B20" s="5" t="s">
        <v>55</v>
      </c>
      <c r="C20" s="5" t="s">
        <v>24</v>
      </c>
      <c r="D20" s="5" t="s">
        <v>25</v>
      </c>
      <c r="E20" s="6">
        <v>46302</v>
      </c>
      <c r="F20" s="5">
        <v>39</v>
      </c>
      <c r="G20" s="5">
        <v>4</v>
      </c>
      <c r="H20" s="7">
        <v>820</v>
      </c>
      <c r="I20" s="5" t="str">
        <f>IF(OR(Table1[[#This Row],[DeliveryTime]]&gt;'Stats Summary'!$B$13,Table1[[#This Row],[DeliveryTime]]&lt;'Stats Summary'!$B$12),"Yes","No")</f>
        <v>No</v>
      </c>
    </row>
    <row r="21" spans="1:9" x14ac:dyDescent="0.3">
      <c r="A21" s="8" t="s">
        <v>56</v>
      </c>
      <c r="B21" s="9" t="s">
        <v>57</v>
      </c>
      <c r="C21" s="9" t="s">
        <v>28</v>
      </c>
      <c r="D21" s="9" t="s">
        <v>29</v>
      </c>
      <c r="E21" s="10">
        <v>46302</v>
      </c>
      <c r="F21" s="9">
        <v>26</v>
      </c>
      <c r="G21" s="9">
        <v>5</v>
      </c>
      <c r="H21" s="11">
        <v>460</v>
      </c>
      <c r="I21" s="9" t="str">
        <f>IF(OR(Table1[[#This Row],[DeliveryTime]]&gt;'Stats Summary'!$B$13,Table1[[#This Row],[DeliveryTime]]&lt;'Stats Summary'!$B$12),"Yes","No")</f>
        <v>No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19CB-0801-4F17-AFE1-53BD6D0C45DE}">
  <dimension ref="A1:B13"/>
  <sheetViews>
    <sheetView workbookViewId="0">
      <selection activeCell="B13" sqref="B13"/>
    </sheetView>
  </sheetViews>
  <sheetFormatPr defaultRowHeight="14.4" x14ac:dyDescent="0.3"/>
  <cols>
    <col min="1" max="1" width="28.77734375" customWidth="1"/>
    <col min="2" max="2" width="40.5546875" bestFit="1" customWidth="1"/>
  </cols>
  <sheetData>
    <row r="1" spans="1:2" x14ac:dyDescent="0.3">
      <c r="A1" s="1" t="s">
        <v>68</v>
      </c>
      <c r="B1" s="3" t="s">
        <v>67</v>
      </c>
    </row>
    <row r="2" spans="1:2" ht="15" x14ac:dyDescent="0.3">
      <c r="A2" s="4" t="s">
        <v>58</v>
      </c>
      <c r="B2" s="12">
        <f>AVERAGE(Table1[DeliveryTime])</f>
        <v>40.4</v>
      </c>
    </row>
    <row r="3" spans="1:2" ht="15" x14ac:dyDescent="0.3">
      <c r="A3" s="4" t="s">
        <v>59</v>
      </c>
      <c r="B3" s="12">
        <f>MEDIAN(Table1[DeliveryTime])</f>
        <v>37</v>
      </c>
    </row>
    <row r="4" spans="1:2" ht="15" x14ac:dyDescent="0.3">
      <c r="A4" s="4" t="s">
        <v>60</v>
      </c>
      <c r="B4" s="12">
        <f>_xlfn.MODE.SNGL(Table1[DeliveryTime])</f>
        <v>35</v>
      </c>
    </row>
    <row r="5" spans="1:2" ht="15" x14ac:dyDescent="0.3">
      <c r="A5" s="4" t="s">
        <v>61</v>
      </c>
      <c r="B5" s="12">
        <f>_xlfn.STDEV.S(Table1[DeliveryTime])</f>
        <v>13.823701994838618</v>
      </c>
    </row>
    <row r="6" spans="1:2" ht="15" x14ac:dyDescent="0.3">
      <c r="A6" s="4" t="s">
        <v>62</v>
      </c>
      <c r="B6" s="12">
        <f>_xlfn.VAR.S(Table1[DeliveryTime])</f>
        <v>191.09473684210522</v>
      </c>
    </row>
    <row r="7" spans="1:2" ht="15" x14ac:dyDescent="0.3">
      <c r="A7" s="4" t="s">
        <v>63</v>
      </c>
      <c r="B7" s="12">
        <f>MIN(Table1[DeliveryTime])</f>
        <v>25</v>
      </c>
    </row>
    <row r="8" spans="1:2" ht="15" x14ac:dyDescent="0.3">
      <c r="A8" s="4" t="s">
        <v>64</v>
      </c>
      <c r="B8" s="12">
        <f>MAX(Table1[DeliveryTime])</f>
        <v>75</v>
      </c>
    </row>
    <row r="9" spans="1:2" ht="15" x14ac:dyDescent="0.3">
      <c r="A9" s="4" t="s">
        <v>65</v>
      </c>
      <c r="B9" s="12">
        <f>_xlfn.QUARTILE.INC(Table1[DeliveryTime],1)</f>
        <v>29.75</v>
      </c>
    </row>
    <row r="10" spans="1:2" ht="15" x14ac:dyDescent="0.3">
      <c r="A10" s="8" t="s">
        <v>66</v>
      </c>
      <c r="B10" s="13">
        <f>_xlfn.QUARTILE.INC(Table1[DeliveryTime],3)</f>
        <v>45.5</v>
      </c>
    </row>
    <row r="11" spans="1:2" ht="15" x14ac:dyDescent="0.3">
      <c r="A11" s="8" t="s">
        <v>69</v>
      </c>
      <c r="B11" s="13">
        <f>B10-B9</f>
        <v>15.75</v>
      </c>
    </row>
    <row r="12" spans="1:2" ht="15" x14ac:dyDescent="0.3">
      <c r="A12" s="4" t="s">
        <v>70</v>
      </c>
      <c r="B12" s="12">
        <f>B9-(1.5*B11)</f>
        <v>6.125</v>
      </c>
    </row>
    <row r="13" spans="1:2" ht="15" x14ac:dyDescent="0.3">
      <c r="A13" s="8" t="s">
        <v>71</v>
      </c>
      <c r="B13" s="12">
        <f>B10+(1.5*B11)</f>
        <v>69.125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Stats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2026-09-30T10:35:12Z</dcterms:created>
  <dcterms:modified xsi:type="dcterms:W3CDTF">2026-09-30T11:14:53Z</dcterms:modified>
</cp:coreProperties>
</file>